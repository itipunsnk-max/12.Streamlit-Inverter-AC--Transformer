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ttor-my.sharepoint.com/personal/620116_pttor_com/Documents/PTTOR มาตรฐาน/_หนังสือ เกี่ยวกับ EE/__ขั้นตอนการออกแบบ Solar Rooftop-V.1/_1.Guideline Solar Survey/12.ออกแบสายไฟ AC Inverter-หม้อแปลง (25-8-69)/1.เลือกขนาด Inverter/"/>
    </mc:Choice>
  </mc:AlternateContent>
  <xr:revisionPtr revIDLastSave="285" documentId="11_1DB161EBEE73ACD9781FBD3FC081814E7D740D96" xr6:coauthVersionLast="47" xr6:coauthVersionMax="47" xr10:uidLastSave="{0FA94F35-E069-42B6-A0B0-4D8CB660B547}"/>
  <bookViews>
    <workbookView xWindow="-120" yWindow="-120" windowWidth="29040" windowHeight="15720" tabRatio="897" activeTab="1" xr2:uid="{00000000-000D-0000-FFFF-FFFF00000000}"/>
  </bookViews>
  <sheets>
    <sheet name="Conduit Data" sheetId="2" r:id="rId1"/>
    <sheet name="1.IMC Max Count" sheetId="10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1" i="10" l="1"/>
  <c r="G71" i="10" s="1"/>
  <c r="F76" i="10"/>
  <c r="J71" i="10"/>
  <c r="E74" i="10"/>
  <c r="G74" i="10" s="1"/>
  <c r="H74" i="10" s="1"/>
  <c r="G75" i="10"/>
  <c r="H75" i="10" s="1"/>
  <c r="A91" i="10"/>
  <c r="A90" i="10"/>
  <c r="A89" i="10"/>
  <c r="A88" i="10"/>
  <c r="A87" i="10"/>
  <c r="A86" i="10"/>
  <c r="A85" i="10"/>
  <c r="A84" i="10"/>
  <c r="A83" i="10"/>
  <c r="A82" i="10"/>
  <c r="A80" i="10"/>
  <c r="C80" i="10" s="1"/>
  <c r="D82" i="10" s="1"/>
  <c r="K75" i="10"/>
  <c r="K74" i="10"/>
  <c r="K73" i="10"/>
  <c r="K72" i="10"/>
  <c r="K71" i="10"/>
  <c r="F65" i="10"/>
  <c r="F64" i="10"/>
  <c r="F63" i="10"/>
  <c r="F62" i="10"/>
  <c r="F61" i="10"/>
  <c r="F60" i="10"/>
  <c r="I59" i="10"/>
  <c r="T59" i="10" s="1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Q13" i="10"/>
  <c r="E13" i="10"/>
  <c r="F13" i="10" s="1"/>
  <c r="Q12" i="10"/>
  <c r="E12" i="10"/>
  <c r="E73" i="10" s="1"/>
  <c r="G73" i="10" s="1"/>
  <c r="H73" i="10" s="1"/>
  <c r="Q11" i="10"/>
  <c r="E11" i="10"/>
  <c r="F11" i="10" s="1"/>
  <c r="Q10" i="10"/>
  <c r="E10" i="10"/>
  <c r="P7" i="10"/>
  <c r="P28" i="10" s="1"/>
  <c r="AA28" i="10" s="1"/>
  <c r="P6" i="10"/>
  <c r="O6" i="10"/>
  <c r="O7" i="10" s="1"/>
  <c r="N6" i="10"/>
  <c r="N7" i="10" s="1"/>
  <c r="M6" i="10"/>
  <c r="M7" i="10" s="1"/>
  <c r="L6" i="10"/>
  <c r="L7" i="10" s="1"/>
  <c r="K6" i="10"/>
  <c r="K7" i="10" s="1"/>
  <c r="J6" i="10"/>
  <c r="J7" i="10" s="1"/>
  <c r="I6" i="10"/>
  <c r="I7" i="10" s="1"/>
  <c r="I47" i="10" s="1"/>
  <c r="T47" i="10" s="1"/>
  <c r="H6" i="10"/>
  <c r="H7" i="10" s="1"/>
  <c r="G6" i="10"/>
  <c r="G7" i="10" s="1"/>
  <c r="N13" i="2"/>
  <c r="K13" i="2"/>
  <c r="L13" i="2" s="1"/>
  <c r="N12" i="2"/>
  <c r="L12" i="2"/>
  <c r="K12" i="2"/>
  <c r="N11" i="2"/>
  <c r="L11" i="2"/>
  <c r="K11" i="2"/>
  <c r="N10" i="2"/>
  <c r="K10" i="2"/>
  <c r="L10" i="2" s="1"/>
  <c r="N9" i="2"/>
  <c r="L9" i="2"/>
  <c r="K9" i="2"/>
  <c r="N8" i="2"/>
  <c r="K8" i="2"/>
  <c r="L8" i="2" s="1"/>
  <c r="N7" i="2"/>
  <c r="K7" i="2"/>
  <c r="L7" i="2" s="1"/>
  <c r="N6" i="2"/>
  <c r="K6" i="2"/>
  <c r="L6" i="2" s="1"/>
  <c r="N5" i="2"/>
  <c r="L5" i="2"/>
  <c r="K5" i="2"/>
  <c r="N4" i="2"/>
  <c r="K4" i="2"/>
  <c r="L4" i="2" s="1"/>
  <c r="C82" i="10" l="1"/>
  <c r="D90" i="10"/>
  <c r="D87" i="10"/>
  <c r="D84" i="10"/>
  <c r="G28" i="10"/>
  <c r="R28" i="10" s="1"/>
  <c r="B82" i="10"/>
  <c r="H44" i="10"/>
  <c r="S44" i="10" s="1"/>
  <c r="H35" i="10"/>
  <c r="S35" i="10" s="1"/>
  <c r="H36" i="10"/>
  <c r="S36" i="10" s="1"/>
  <c r="H16" i="10"/>
  <c r="S16" i="10" s="1"/>
  <c r="H14" i="10"/>
  <c r="S14" i="10" s="1"/>
  <c r="H37" i="10"/>
  <c r="S37" i="10" s="1"/>
  <c r="H65" i="10"/>
  <c r="S65" i="10" s="1"/>
  <c r="H27" i="10"/>
  <c r="S27" i="10" s="1"/>
  <c r="K60" i="10"/>
  <c r="V60" i="10" s="1"/>
  <c r="K28" i="10"/>
  <c r="V28" i="10" s="1"/>
  <c r="K49" i="10"/>
  <c r="V49" i="10" s="1"/>
  <c r="L16" i="10"/>
  <c r="W16" i="10" s="1"/>
  <c r="L28" i="10"/>
  <c r="W28" i="10" s="1"/>
  <c r="L49" i="10"/>
  <c r="W49" i="10" s="1"/>
  <c r="M53" i="10"/>
  <c r="X53" i="10" s="1"/>
  <c r="M23" i="10"/>
  <c r="X23" i="10" s="1"/>
  <c r="M63" i="10"/>
  <c r="X63" i="10" s="1"/>
  <c r="M26" i="10"/>
  <c r="X26" i="10" s="1"/>
  <c r="M29" i="10"/>
  <c r="X29" i="10" s="1"/>
  <c r="M38" i="10"/>
  <c r="X38" i="10" s="1"/>
  <c r="M33" i="10"/>
  <c r="X33" i="10" s="1"/>
  <c r="M16" i="10"/>
  <c r="X16" i="10" s="1"/>
  <c r="N15" i="10"/>
  <c r="Y15" i="10" s="1"/>
  <c r="N53" i="10"/>
  <c r="Y53" i="10" s="1"/>
  <c r="N16" i="10"/>
  <c r="Y16" i="10" s="1"/>
  <c r="N37" i="10"/>
  <c r="Y37" i="10" s="1"/>
  <c r="N57" i="10"/>
  <c r="Y57" i="10" s="1"/>
  <c r="N33" i="10"/>
  <c r="Y33" i="10" s="1"/>
  <c r="N55" i="10"/>
  <c r="Y55" i="10" s="1"/>
  <c r="O54" i="10"/>
  <c r="Z54" i="10" s="1"/>
  <c r="O28" i="10"/>
  <c r="Z28" i="10" s="1"/>
  <c r="O22" i="10"/>
  <c r="Z22" i="10" s="1"/>
  <c r="B90" i="10"/>
  <c r="O57" i="10"/>
  <c r="Z57" i="10" s="1"/>
  <c r="O32" i="10"/>
  <c r="Z32" i="10" s="1"/>
  <c r="O53" i="10"/>
  <c r="Z53" i="10" s="1"/>
  <c r="O26" i="10"/>
  <c r="Z26" i="10" s="1"/>
  <c r="O37" i="10"/>
  <c r="Z37" i="10" s="1"/>
  <c r="O34" i="10"/>
  <c r="Z34" i="10" s="1"/>
  <c r="O27" i="10"/>
  <c r="Z27" i="10" s="1"/>
  <c r="O55" i="10"/>
  <c r="Z55" i="10" s="1"/>
  <c r="O63" i="10"/>
  <c r="Z63" i="10" s="1"/>
  <c r="O16" i="10"/>
  <c r="Z16" i="10" s="1"/>
  <c r="I37" i="10"/>
  <c r="T37" i="10" s="1"/>
  <c r="P56" i="10"/>
  <c r="AA56" i="10" s="1"/>
  <c r="P48" i="10"/>
  <c r="AA48" i="10" s="1"/>
  <c r="P63" i="10"/>
  <c r="AA63" i="10" s="1"/>
  <c r="I20" i="10"/>
  <c r="T20" i="10" s="1"/>
  <c r="P27" i="10"/>
  <c r="AA27" i="10" s="1"/>
  <c r="P49" i="10"/>
  <c r="AA49" i="10" s="1"/>
  <c r="I36" i="10"/>
  <c r="T36" i="10" s="1"/>
  <c r="P26" i="10"/>
  <c r="AA26" i="10" s="1"/>
  <c r="I21" i="10"/>
  <c r="T21" i="10" s="1"/>
  <c r="P34" i="10"/>
  <c r="AA34" i="10" s="1"/>
  <c r="I40" i="10"/>
  <c r="T40" i="10" s="1"/>
  <c r="P53" i="10"/>
  <c r="AA53" i="10" s="1"/>
  <c r="P57" i="10"/>
  <c r="AA57" i="10" s="1"/>
  <c r="I16" i="10"/>
  <c r="T16" i="10" s="1"/>
  <c r="O46" i="10"/>
  <c r="Z46" i="10" s="1"/>
  <c r="I46" i="10"/>
  <c r="T46" i="10" s="1"/>
  <c r="I14" i="10"/>
  <c r="T14" i="10" s="1"/>
  <c r="P41" i="10"/>
  <c r="AA41" i="10" s="1"/>
  <c r="M51" i="10"/>
  <c r="X51" i="10" s="1"/>
  <c r="P22" i="10"/>
  <c r="AA22" i="10" s="1"/>
  <c r="I35" i="10"/>
  <c r="T35" i="10" s="1"/>
  <c r="J74" i="10"/>
  <c r="H71" i="10"/>
  <c r="L71" i="10" s="1"/>
  <c r="M71" i="10" s="1"/>
  <c r="N71" i="10" s="1"/>
  <c r="L13" i="10"/>
  <c r="W13" i="10" s="1"/>
  <c r="E72" i="10"/>
  <c r="G72" i="10" s="1"/>
  <c r="H72" i="10" s="1"/>
  <c r="O11" i="10"/>
  <c r="Z11" i="10" s="1"/>
  <c r="P11" i="10"/>
  <c r="AA11" i="10" s="1"/>
  <c r="J65" i="10"/>
  <c r="U65" i="10" s="1"/>
  <c r="B85" i="10"/>
  <c r="J55" i="10"/>
  <c r="U55" i="10" s="1"/>
  <c r="J51" i="10"/>
  <c r="U51" i="10" s="1"/>
  <c r="J64" i="10"/>
  <c r="U64" i="10" s="1"/>
  <c r="J63" i="10"/>
  <c r="U63" i="10" s="1"/>
  <c r="J61" i="10"/>
  <c r="U61" i="10" s="1"/>
  <c r="J60" i="10"/>
  <c r="U60" i="10" s="1"/>
  <c r="J31" i="10"/>
  <c r="U31" i="10" s="1"/>
  <c r="J15" i="10"/>
  <c r="U15" i="10" s="1"/>
  <c r="J10" i="10"/>
  <c r="U10" i="10" s="1"/>
  <c r="J54" i="10"/>
  <c r="U54" i="10" s="1"/>
  <c r="J46" i="10"/>
  <c r="U46" i="10" s="1"/>
  <c r="J58" i="10"/>
  <c r="U58" i="10" s="1"/>
  <c r="J47" i="10"/>
  <c r="U47" i="10" s="1"/>
  <c r="J27" i="10"/>
  <c r="U27" i="10" s="1"/>
  <c r="J53" i="10"/>
  <c r="U53" i="10" s="1"/>
  <c r="J48" i="10"/>
  <c r="U48" i="10" s="1"/>
  <c r="J14" i="10"/>
  <c r="U14" i="10" s="1"/>
  <c r="J49" i="10"/>
  <c r="U49" i="10" s="1"/>
  <c r="J32" i="10"/>
  <c r="U32" i="10" s="1"/>
  <c r="J19" i="10"/>
  <c r="U19" i="10" s="1"/>
  <c r="J13" i="10"/>
  <c r="U13" i="10" s="1"/>
  <c r="J50" i="10"/>
  <c r="U50" i="10" s="1"/>
  <c r="J25" i="10"/>
  <c r="U25" i="10" s="1"/>
  <c r="J18" i="10"/>
  <c r="U18" i="10" s="1"/>
  <c r="J26" i="10"/>
  <c r="U26" i="10" s="1"/>
  <c r="J21" i="10"/>
  <c r="U21" i="10" s="1"/>
  <c r="J37" i="10"/>
  <c r="U37" i="10" s="1"/>
  <c r="J16" i="10"/>
  <c r="U16" i="10" s="1"/>
  <c r="J33" i="10"/>
  <c r="U33" i="10" s="1"/>
  <c r="J28" i="10"/>
  <c r="U28" i="10" s="1"/>
  <c r="J36" i="10"/>
  <c r="U36" i="10" s="1"/>
  <c r="J39" i="10"/>
  <c r="U39" i="10" s="1"/>
  <c r="J38" i="10"/>
  <c r="U38" i="10" s="1"/>
  <c r="J29" i="10"/>
  <c r="U29" i="10" s="1"/>
  <c r="J23" i="10"/>
  <c r="U23" i="10" s="1"/>
  <c r="J42" i="10"/>
  <c r="U42" i="10" s="1"/>
  <c r="J34" i="10"/>
  <c r="U34" i="10" s="1"/>
  <c r="J62" i="10"/>
  <c r="U62" i="10" s="1"/>
  <c r="J56" i="10"/>
  <c r="U56" i="10" s="1"/>
  <c r="J52" i="10"/>
  <c r="U52" i="10" s="1"/>
  <c r="J45" i="10"/>
  <c r="U45" i="10" s="1"/>
  <c r="J30" i="10"/>
  <c r="U30" i="10" s="1"/>
  <c r="J24" i="10"/>
  <c r="U24" i="10" s="1"/>
  <c r="J11" i="10"/>
  <c r="U11" i="10" s="1"/>
  <c r="J35" i="10"/>
  <c r="U35" i="10" s="1"/>
  <c r="J20" i="10"/>
  <c r="U20" i="10" s="1"/>
  <c r="J59" i="10"/>
  <c r="U59" i="10" s="1"/>
  <c r="J40" i="10"/>
  <c r="U40" i="10" s="1"/>
  <c r="J44" i="10"/>
  <c r="U44" i="10" s="1"/>
  <c r="J41" i="10"/>
  <c r="U41" i="10" s="1"/>
  <c r="J17" i="10"/>
  <c r="U17" i="10" s="1"/>
  <c r="J43" i="10"/>
  <c r="U43" i="10" s="1"/>
  <c r="J57" i="10"/>
  <c r="U57" i="10" s="1"/>
  <c r="J22" i="10"/>
  <c r="U22" i="10" s="1"/>
  <c r="K55" i="10"/>
  <c r="V55" i="10" s="1"/>
  <c r="G61" i="10"/>
  <c r="R61" i="10" s="1"/>
  <c r="K26" i="10"/>
  <c r="V26" i="10" s="1"/>
  <c r="G43" i="10"/>
  <c r="R43" i="10" s="1"/>
  <c r="M46" i="10"/>
  <c r="X46" i="10" s="1"/>
  <c r="M58" i="10"/>
  <c r="X58" i="10" s="1"/>
  <c r="M60" i="10"/>
  <c r="X60" i="10" s="1"/>
  <c r="M61" i="10"/>
  <c r="X61" i="10" s="1"/>
  <c r="M55" i="10"/>
  <c r="X55" i="10" s="1"/>
  <c r="M56" i="10"/>
  <c r="X56" i="10" s="1"/>
  <c r="M47" i="10"/>
  <c r="X47" i="10" s="1"/>
  <c r="M40" i="10"/>
  <c r="X40" i="10" s="1"/>
  <c r="M24" i="10"/>
  <c r="X24" i="10" s="1"/>
  <c r="M39" i="10"/>
  <c r="X39" i="10" s="1"/>
  <c r="M45" i="10"/>
  <c r="X45" i="10" s="1"/>
  <c r="M64" i="10"/>
  <c r="X64" i="10" s="1"/>
  <c r="B88" i="10"/>
  <c r="M50" i="10"/>
  <c r="X50" i="10" s="1"/>
  <c r="M49" i="10"/>
  <c r="X49" i="10" s="1"/>
  <c r="M48" i="10"/>
  <c r="X48" i="10" s="1"/>
  <c r="M44" i="10"/>
  <c r="X44" i="10" s="1"/>
  <c r="M22" i="10"/>
  <c r="X22" i="10" s="1"/>
  <c r="M18" i="10"/>
  <c r="X18" i="10" s="1"/>
  <c r="M57" i="10"/>
  <c r="X57" i="10" s="1"/>
  <c r="M54" i="10"/>
  <c r="X54" i="10" s="1"/>
  <c r="M31" i="10"/>
  <c r="X31" i="10" s="1"/>
  <c r="M42" i="10"/>
  <c r="X42" i="10" s="1"/>
  <c r="M30" i="10"/>
  <c r="X30" i="10" s="1"/>
  <c r="M43" i="10"/>
  <c r="X43" i="10" s="1"/>
  <c r="M41" i="10"/>
  <c r="X41" i="10" s="1"/>
  <c r="M17" i="10"/>
  <c r="X17" i="10" s="1"/>
  <c r="N21" i="10"/>
  <c r="Y21" i="10" s="1"/>
  <c r="G31" i="10"/>
  <c r="R31" i="10" s="1"/>
  <c r="K40" i="10"/>
  <c r="V40" i="10" s="1"/>
  <c r="L48" i="10"/>
  <c r="W48" i="10" s="1"/>
  <c r="N61" i="10"/>
  <c r="Y61" i="10" s="1"/>
  <c r="N63" i="10"/>
  <c r="Y63" i="10" s="1"/>
  <c r="N47" i="10"/>
  <c r="Y47" i="10" s="1"/>
  <c r="N60" i="10"/>
  <c r="Y60" i="10" s="1"/>
  <c r="N54" i="10"/>
  <c r="Y54" i="10" s="1"/>
  <c r="N50" i="10"/>
  <c r="Y50" i="10" s="1"/>
  <c r="N43" i="10"/>
  <c r="Y43" i="10" s="1"/>
  <c r="N27" i="10"/>
  <c r="Y27" i="10" s="1"/>
  <c r="N42" i="10"/>
  <c r="Y42" i="10" s="1"/>
  <c r="N52" i="10"/>
  <c r="Y52" i="10" s="1"/>
  <c r="N45" i="10"/>
  <c r="Y45" i="10" s="1"/>
  <c r="N64" i="10"/>
  <c r="Y64" i="10" s="1"/>
  <c r="N58" i="10"/>
  <c r="Y58" i="10" s="1"/>
  <c r="N46" i="10"/>
  <c r="Y46" i="10" s="1"/>
  <c r="N59" i="10"/>
  <c r="Y59" i="10" s="1"/>
  <c r="N36" i="10"/>
  <c r="Y36" i="10" s="1"/>
  <c r="N26" i="10"/>
  <c r="Y26" i="10" s="1"/>
  <c r="N49" i="10"/>
  <c r="Y49" i="10" s="1"/>
  <c r="N32" i="10"/>
  <c r="Y32" i="10" s="1"/>
  <c r="N19" i="10"/>
  <c r="Y19" i="10" s="1"/>
  <c r="N13" i="10"/>
  <c r="Y13" i="10" s="1"/>
  <c r="N30" i="10"/>
  <c r="Y30" i="10" s="1"/>
  <c r="N41" i="10"/>
  <c r="Y41" i="10" s="1"/>
  <c r="N24" i="10"/>
  <c r="Y24" i="10" s="1"/>
  <c r="N18" i="10"/>
  <c r="Y18" i="10" s="1"/>
  <c r="N40" i="10"/>
  <c r="Y40" i="10" s="1"/>
  <c r="N39" i="10"/>
  <c r="Y39" i="10" s="1"/>
  <c r="N17" i="10"/>
  <c r="Y17" i="10" s="1"/>
  <c r="N65" i="10"/>
  <c r="Y65" i="10" s="1"/>
  <c r="N51" i="10"/>
  <c r="Y51" i="10" s="1"/>
  <c r="N44" i="10"/>
  <c r="Y44" i="10" s="1"/>
  <c r="N38" i="10"/>
  <c r="Y38" i="10" s="1"/>
  <c r="N29" i="10"/>
  <c r="Y29" i="10" s="1"/>
  <c r="N23" i="10"/>
  <c r="Y23" i="10" s="1"/>
  <c r="F12" i="10"/>
  <c r="L12" i="10" s="1"/>
  <c r="W12" i="10" s="1"/>
  <c r="O21" i="10"/>
  <c r="Z21" i="10" s="1"/>
  <c r="K43" i="10"/>
  <c r="V43" i="10" s="1"/>
  <c r="N48" i="10"/>
  <c r="Y48" i="10" s="1"/>
  <c r="M59" i="10"/>
  <c r="X59" i="10" s="1"/>
  <c r="M65" i="10"/>
  <c r="X65" i="10" s="1"/>
  <c r="P21" i="10"/>
  <c r="AA21" i="10" s="1"/>
  <c r="M36" i="10"/>
  <c r="X36" i="10" s="1"/>
  <c r="G39" i="10"/>
  <c r="R39" i="10" s="1"/>
  <c r="G45" i="10"/>
  <c r="R45" i="10" s="1"/>
  <c r="B91" i="10"/>
  <c r="P51" i="10"/>
  <c r="AA51" i="10" s="1"/>
  <c r="P60" i="10"/>
  <c r="AA60" i="10" s="1"/>
  <c r="P54" i="10"/>
  <c r="AA54" i="10" s="1"/>
  <c r="P50" i="10"/>
  <c r="AA50" i="10" s="1"/>
  <c r="P59" i="10"/>
  <c r="AA59" i="10" s="1"/>
  <c r="P55" i="10"/>
  <c r="AA55" i="10" s="1"/>
  <c r="P46" i="10"/>
  <c r="AA46" i="10" s="1"/>
  <c r="P33" i="10"/>
  <c r="AA33" i="10" s="1"/>
  <c r="P17" i="10"/>
  <c r="AA17" i="10" s="1"/>
  <c r="P32" i="10"/>
  <c r="AA32" i="10" s="1"/>
  <c r="P65" i="10"/>
  <c r="AA65" i="10" s="1"/>
  <c r="P42" i="10"/>
  <c r="AA42" i="10" s="1"/>
  <c r="P35" i="10"/>
  <c r="AA35" i="10" s="1"/>
  <c r="P30" i="10"/>
  <c r="AA30" i="10" s="1"/>
  <c r="P13" i="10"/>
  <c r="AA13" i="10" s="1"/>
  <c r="P31" i="10"/>
  <c r="AA31" i="10" s="1"/>
  <c r="P61" i="10"/>
  <c r="AA61" i="10" s="1"/>
  <c r="P58" i="10"/>
  <c r="AA58" i="10" s="1"/>
  <c r="P40" i="10"/>
  <c r="AA40" i="10" s="1"/>
  <c r="P39" i="10"/>
  <c r="AA39" i="10" s="1"/>
  <c r="P43" i="10"/>
  <c r="AA43" i="10" s="1"/>
  <c r="P38" i="10"/>
  <c r="AA38" i="10" s="1"/>
  <c r="P29" i="10"/>
  <c r="AA29" i="10" s="1"/>
  <c r="P23" i="10"/>
  <c r="AA23" i="10" s="1"/>
  <c r="P44" i="10"/>
  <c r="AA44" i="10" s="1"/>
  <c r="P37" i="10"/>
  <c r="AA37" i="10" s="1"/>
  <c r="P16" i="10"/>
  <c r="AA16" i="10" s="1"/>
  <c r="G11" i="10"/>
  <c r="R11" i="10" s="1"/>
  <c r="M14" i="10"/>
  <c r="X14" i="10" s="1"/>
  <c r="P15" i="10"/>
  <c r="AA15" i="10" s="1"/>
  <c r="L19" i="10"/>
  <c r="W19" i="10" s="1"/>
  <c r="N20" i="10"/>
  <c r="Y20" i="10" s="1"/>
  <c r="H24" i="10"/>
  <c r="S24" i="10" s="1"/>
  <c r="H30" i="10"/>
  <c r="S30" i="10" s="1"/>
  <c r="I39" i="10"/>
  <c r="T39" i="10" s="1"/>
  <c r="G42" i="10"/>
  <c r="R42" i="10" s="1"/>
  <c r="H45" i="10"/>
  <c r="S45" i="10" s="1"/>
  <c r="G50" i="10"/>
  <c r="R50" i="10" s="1"/>
  <c r="F10" i="10"/>
  <c r="I10" i="10" s="1"/>
  <c r="T10" i="10" s="1"/>
  <c r="M13" i="10"/>
  <c r="X13" i="10" s="1"/>
  <c r="P14" i="10"/>
  <c r="AA14" i="10" s="1"/>
  <c r="G18" i="10"/>
  <c r="R18" i="10" s="1"/>
  <c r="O19" i="10"/>
  <c r="Z19" i="10" s="1"/>
  <c r="P20" i="10"/>
  <c r="AA20" i="10" s="1"/>
  <c r="G23" i="10"/>
  <c r="R23" i="10" s="1"/>
  <c r="H29" i="10"/>
  <c r="S29" i="10" s="1"/>
  <c r="H34" i="10"/>
  <c r="S34" i="10" s="1"/>
  <c r="L35" i="10"/>
  <c r="W35" i="10" s="1"/>
  <c r="K39" i="10"/>
  <c r="V39" i="10" s="1"/>
  <c r="I42" i="10"/>
  <c r="T42" i="10" s="1"/>
  <c r="O50" i="10"/>
  <c r="Z50" i="10" s="1"/>
  <c r="H60" i="10"/>
  <c r="S60" i="10" s="1"/>
  <c r="L10" i="10"/>
  <c r="W10" i="10" s="1"/>
  <c r="K11" i="10"/>
  <c r="V11" i="10" s="1"/>
  <c r="O13" i="10"/>
  <c r="Z13" i="10" s="1"/>
  <c r="H18" i="10"/>
  <c r="S18" i="10" s="1"/>
  <c r="P19" i="10"/>
  <c r="AA19" i="10" s="1"/>
  <c r="H23" i="10"/>
  <c r="S23" i="10" s="1"/>
  <c r="P24" i="10"/>
  <c r="AA24" i="10" s="1"/>
  <c r="I29" i="10"/>
  <c r="T29" i="10" s="1"/>
  <c r="M35" i="10"/>
  <c r="X35" i="10" s="1"/>
  <c r="H38" i="10"/>
  <c r="S38" i="10" s="1"/>
  <c r="L45" i="10"/>
  <c r="W45" i="10" s="1"/>
  <c r="H47" i="10"/>
  <c r="S47" i="10" s="1"/>
  <c r="L52" i="10"/>
  <c r="W52" i="10" s="1"/>
  <c r="G54" i="10"/>
  <c r="R54" i="10" s="1"/>
  <c r="K56" i="10"/>
  <c r="V56" i="10" s="1"/>
  <c r="M62" i="10"/>
  <c r="X62" i="10" s="1"/>
  <c r="C90" i="10"/>
  <c r="C88" i="10"/>
  <c r="C86" i="10"/>
  <c r="C84" i="10"/>
  <c r="C87" i="10"/>
  <c r="C89" i="10"/>
  <c r="C83" i="10"/>
  <c r="C91" i="10"/>
  <c r="C85" i="10"/>
  <c r="M10" i="10"/>
  <c r="X10" i="10" s="1"/>
  <c r="L11" i="10"/>
  <c r="W11" i="10" s="1"/>
  <c r="G17" i="10"/>
  <c r="R17" i="10" s="1"/>
  <c r="I18" i="10"/>
  <c r="T18" i="10" s="1"/>
  <c r="L34" i="10"/>
  <c r="W34" i="10" s="1"/>
  <c r="N35" i="10"/>
  <c r="Y35" i="10" s="1"/>
  <c r="P45" i="10"/>
  <c r="AA45" i="10" s="1"/>
  <c r="M52" i="10"/>
  <c r="X52" i="10" s="1"/>
  <c r="L56" i="10"/>
  <c r="W56" i="10" s="1"/>
  <c r="L60" i="10"/>
  <c r="W60" i="10" s="1"/>
  <c r="N62" i="10"/>
  <c r="Y62" i="10" s="1"/>
  <c r="P64" i="10"/>
  <c r="AA64" i="10" s="1"/>
  <c r="G56" i="10"/>
  <c r="R56" i="10" s="1"/>
  <c r="J72" i="10"/>
  <c r="G58" i="10"/>
  <c r="R58" i="10" s="1"/>
  <c r="G48" i="10"/>
  <c r="R48" i="10" s="1"/>
  <c r="G38" i="10"/>
  <c r="R38" i="10" s="1"/>
  <c r="G22" i="10"/>
  <c r="R22" i="10" s="1"/>
  <c r="G47" i="10"/>
  <c r="R47" i="10" s="1"/>
  <c r="G37" i="10"/>
  <c r="R37" i="10" s="1"/>
  <c r="G55" i="10"/>
  <c r="R55" i="10" s="1"/>
  <c r="G63" i="10"/>
  <c r="R63" i="10" s="1"/>
  <c r="G57" i="10"/>
  <c r="R57" i="10" s="1"/>
  <c r="G15" i="10"/>
  <c r="R15" i="10" s="1"/>
  <c r="G35" i="10"/>
  <c r="R35" i="10" s="1"/>
  <c r="G53" i="10"/>
  <c r="R53" i="10" s="1"/>
  <c r="G14" i="10"/>
  <c r="R14" i="10" s="1"/>
  <c r="G33" i="10"/>
  <c r="R33" i="10" s="1"/>
  <c r="G20" i="10"/>
  <c r="R20" i="10" s="1"/>
  <c r="G64" i="10"/>
  <c r="R64" i="10" s="1"/>
  <c r="G49" i="10"/>
  <c r="R49" i="10" s="1"/>
  <c r="G26" i="10"/>
  <c r="R26" i="10" s="1"/>
  <c r="G32" i="10"/>
  <c r="R32" i="10" s="1"/>
  <c r="G19" i="10"/>
  <c r="R19" i="10" s="1"/>
  <c r="K52" i="10"/>
  <c r="V52" i="10" s="1"/>
  <c r="K62" i="10"/>
  <c r="V62" i="10" s="1"/>
  <c r="K61" i="10"/>
  <c r="V61" i="10" s="1"/>
  <c r="K59" i="10"/>
  <c r="V59" i="10" s="1"/>
  <c r="K58" i="10"/>
  <c r="V58" i="10" s="1"/>
  <c r="K57" i="10"/>
  <c r="V57" i="10" s="1"/>
  <c r="K48" i="10"/>
  <c r="V48" i="10" s="1"/>
  <c r="K34" i="10"/>
  <c r="V34" i="10" s="1"/>
  <c r="K18" i="10"/>
  <c r="V18" i="10" s="1"/>
  <c r="K46" i="10"/>
  <c r="V46" i="10" s="1"/>
  <c r="K33" i="10"/>
  <c r="V33" i="10" s="1"/>
  <c r="K53" i="10"/>
  <c r="V53" i="10" s="1"/>
  <c r="K63" i="10"/>
  <c r="V63" i="10" s="1"/>
  <c r="K45" i="10"/>
  <c r="V45" i="10" s="1"/>
  <c r="K37" i="10"/>
  <c r="V37" i="10" s="1"/>
  <c r="K14" i="10"/>
  <c r="V14" i="10" s="1"/>
  <c r="K20" i="10"/>
  <c r="V20" i="10" s="1"/>
  <c r="K64" i="10"/>
  <c r="V64" i="10" s="1"/>
  <c r="K32" i="10"/>
  <c r="V32" i="10" s="1"/>
  <c r="K19" i="10"/>
  <c r="V19" i="10" s="1"/>
  <c r="K13" i="10"/>
  <c r="V13" i="10" s="1"/>
  <c r="K50" i="10"/>
  <c r="V50" i="10" s="1"/>
  <c r="K31" i="10"/>
  <c r="V31" i="10" s="1"/>
  <c r="K25" i="10"/>
  <c r="V25" i="10" s="1"/>
  <c r="K54" i="10"/>
  <c r="V54" i="10" s="1"/>
  <c r="K42" i="10"/>
  <c r="V42" i="10" s="1"/>
  <c r="K30" i="10"/>
  <c r="V30" i="10" s="1"/>
  <c r="K24" i="10"/>
  <c r="V24" i="10" s="1"/>
  <c r="K15" i="10"/>
  <c r="V15" i="10" s="1"/>
  <c r="K21" i="10"/>
  <c r="V21" i="10" s="1"/>
  <c r="L15" i="10"/>
  <c r="W15" i="10" s="1"/>
  <c r="M21" i="10"/>
  <c r="X21" i="10" s="1"/>
  <c r="M15" i="10"/>
  <c r="X15" i="10" s="1"/>
  <c r="L20" i="10"/>
  <c r="W20" i="10" s="1"/>
  <c r="M25" i="10"/>
  <c r="X25" i="10" s="1"/>
  <c r="N31" i="10"/>
  <c r="Y31" i="10" s="1"/>
  <c r="K36" i="10"/>
  <c r="V36" i="10" s="1"/>
  <c r="O64" i="10"/>
  <c r="Z64" i="10" s="1"/>
  <c r="O30" i="10"/>
  <c r="Z30" i="10" s="1"/>
  <c r="O14" i="10"/>
  <c r="Z14" i="10" s="1"/>
  <c r="O52" i="10"/>
  <c r="Z52" i="10" s="1"/>
  <c r="O45" i="10"/>
  <c r="Z45" i="10" s="1"/>
  <c r="O49" i="10"/>
  <c r="Z49" i="10" s="1"/>
  <c r="O48" i="10"/>
  <c r="Z48" i="10" s="1"/>
  <c r="O47" i="10"/>
  <c r="Z47" i="10" s="1"/>
  <c r="O44" i="10"/>
  <c r="Z44" i="10" s="1"/>
  <c r="O59" i="10"/>
  <c r="Z59" i="10" s="1"/>
  <c r="O65" i="10"/>
  <c r="Z65" i="10" s="1"/>
  <c r="O43" i="10"/>
  <c r="Z43" i="10" s="1"/>
  <c r="O25" i="10"/>
  <c r="Z25" i="10" s="1"/>
  <c r="O42" i="10"/>
  <c r="Z42" i="10" s="1"/>
  <c r="O41" i="10"/>
  <c r="Z41" i="10" s="1"/>
  <c r="O24" i="10"/>
  <c r="Z24" i="10" s="1"/>
  <c r="O18" i="10"/>
  <c r="Z18" i="10" s="1"/>
  <c r="O61" i="10"/>
  <c r="Z61" i="10" s="1"/>
  <c r="O58" i="10"/>
  <c r="Z58" i="10" s="1"/>
  <c r="O40" i="10"/>
  <c r="Z40" i="10" s="1"/>
  <c r="O39" i="10"/>
  <c r="Z39" i="10" s="1"/>
  <c r="O17" i="10"/>
  <c r="Z17" i="10" s="1"/>
  <c r="O51" i="10"/>
  <c r="Z51" i="10" s="1"/>
  <c r="O38" i="10"/>
  <c r="Z38" i="10" s="1"/>
  <c r="O29" i="10"/>
  <c r="Z29" i="10" s="1"/>
  <c r="O23" i="10"/>
  <c r="Z23" i="10" s="1"/>
  <c r="L14" i="10"/>
  <c r="W14" i="10" s="1"/>
  <c r="O15" i="10"/>
  <c r="Z15" i="10" s="1"/>
  <c r="M20" i="10"/>
  <c r="X20" i="10" s="1"/>
  <c r="G24" i="10"/>
  <c r="R24" i="10" s="1"/>
  <c r="N25" i="10"/>
  <c r="Y25" i="10" s="1"/>
  <c r="G30" i="10"/>
  <c r="R30" i="10" s="1"/>
  <c r="O31" i="10"/>
  <c r="Z31" i="10" s="1"/>
  <c r="I62" i="10"/>
  <c r="T62" i="10" s="1"/>
  <c r="I64" i="10"/>
  <c r="T64" i="10" s="1"/>
  <c r="J75" i="10"/>
  <c r="L75" i="10" s="1"/>
  <c r="M75" i="10" s="1"/>
  <c r="N75" i="10" s="1"/>
  <c r="I56" i="10"/>
  <c r="T56" i="10" s="1"/>
  <c r="I48" i="10"/>
  <c r="T48" i="10" s="1"/>
  <c r="I65" i="10"/>
  <c r="T65" i="10" s="1"/>
  <c r="I44" i="10"/>
  <c r="T44" i="10" s="1"/>
  <c r="I28" i="10"/>
  <c r="T28" i="10" s="1"/>
  <c r="I43" i="10"/>
  <c r="T43" i="10" s="1"/>
  <c r="I54" i="10"/>
  <c r="T54" i="10" s="1"/>
  <c r="I57" i="10"/>
  <c r="T57" i="10" s="1"/>
  <c r="I63" i="10"/>
  <c r="T63" i="10" s="1"/>
  <c r="I38" i="10"/>
  <c r="T38" i="10" s="1"/>
  <c r="I32" i="10"/>
  <c r="T32" i="10" s="1"/>
  <c r="I23" i="10"/>
  <c r="T23" i="10" s="1"/>
  <c r="I60" i="10"/>
  <c r="T60" i="10" s="1"/>
  <c r="I34" i="10"/>
  <c r="T34" i="10" s="1"/>
  <c r="I27" i="10"/>
  <c r="T27" i="10" s="1"/>
  <c r="I26" i="10"/>
  <c r="T26" i="10" s="1"/>
  <c r="I49" i="10"/>
  <c r="T49" i="10" s="1"/>
  <c r="I58" i="10"/>
  <c r="T58" i="10" s="1"/>
  <c r="I31" i="10"/>
  <c r="T31" i="10" s="1"/>
  <c r="I19" i="10"/>
  <c r="T19" i="10" s="1"/>
  <c r="I13" i="10"/>
  <c r="T13" i="10" s="1"/>
  <c r="I61" i="10"/>
  <c r="T61" i="10" s="1"/>
  <c r="I50" i="10"/>
  <c r="T50" i="10" s="1"/>
  <c r="I25" i="10"/>
  <c r="T25" i="10" s="1"/>
  <c r="G13" i="10"/>
  <c r="R13" i="10" s="1"/>
  <c r="P25" i="10"/>
  <c r="AA25" i="10" s="1"/>
  <c r="O36" i="10"/>
  <c r="Z36" i="10" s="1"/>
  <c r="G52" i="10"/>
  <c r="R52" i="10" s="1"/>
  <c r="B84" i="10"/>
  <c r="I11" i="10"/>
  <c r="T11" i="10" s="1"/>
  <c r="N14" i="10"/>
  <c r="Y14" i="10" s="1"/>
  <c r="M19" i="10"/>
  <c r="X19" i="10" s="1"/>
  <c r="O20" i="10"/>
  <c r="Z20" i="10" s="1"/>
  <c r="I24" i="10"/>
  <c r="T24" i="10" s="1"/>
  <c r="G29" i="10"/>
  <c r="R29" i="10" s="1"/>
  <c r="I30" i="10"/>
  <c r="T30" i="10" s="1"/>
  <c r="G34" i="10"/>
  <c r="R34" i="10" s="1"/>
  <c r="K35" i="10"/>
  <c r="V35" i="10" s="1"/>
  <c r="P36" i="10"/>
  <c r="AA36" i="10" s="1"/>
  <c r="H42" i="10"/>
  <c r="S42" i="10" s="1"/>
  <c r="I45" i="10"/>
  <c r="T45" i="10" s="1"/>
  <c r="H50" i="10"/>
  <c r="S50" i="10" s="1"/>
  <c r="I52" i="10"/>
  <c r="T52" i="10" s="1"/>
  <c r="G60" i="10"/>
  <c r="R60" i="10" s="1"/>
  <c r="G62" i="10"/>
  <c r="R62" i="10" s="1"/>
  <c r="B89" i="10"/>
  <c r="H17" i="10"/>
  <c r="S17" i="10" s="1"/>
  <c r="K23" i="10"/>
  <c r="V23" i="10" s="1"/>
  <c r="H28" i="10"/>
  <c r="S28" i="10" s="1"/>
  <c r="K29" i="10"/>
  <c r="V29" i="10" s="1"/>
  <c r="I33" i="10"/>
  <c r="T33" i="10" s="1"/>
  <c r="O35" i="10"/>
  <c r="Z35" i="10" s="1"/>
  <c r="N56" i="10"/>
  <c r="Y56" i="10" s="1"/>
  <c r="O60" i="10"/>
  <c r="Z60" i="10" s="1"/>
  <c r="D89" i="10"/>
  <c r="D83" i="10"/>
  <c r="D88" i="10"/>
  <c r="D85" i="10"/>
  <c r="D91" i="10"/>
  <c r="K51" i="10"/>
  <c r="V51" i="10" s="1"/>
  <c r="L55" i="10"/>
  <c r="W55" i="10" s="1"/>
  <c r="L57" i="10"/>
  <c r="W57" i="10" s="1"/>
  <c r="L51" i="10"/>
  <c r="W51" i="10" s="1"/>
  <c r="L47" i="10"/>
  <c r="W47" i="10" s="1"/>
  <c r="L62" i="10"/>
  <c r="W62" i="10" s="1"/>
  <c r="L37" i="10"/>
  <c r="W37" i="10" s="1"/>
  <c r="L21" i="10"/>
  <c r="W21" i="10" s="1"/>
  <c r="L53" i="10"/>
  <c r="W53" i="10" s="1"/>
  <c r="L36" i="10"/>
  <c r="W36" i="10" s="1"/>
  <c r="B87" i="10"/>
  <c r="L58" i="10"/>
  <c r="W58" i="10" s="1"/>
  <c r="L64" i="10"/>
  <c r="W64" i="10" s="1"/>
  <c r="L46" i="10"/>
  <c r="W46" i="10" s="1"/>
  <c r="L31" i="10"/>
  <c r="W31" i="10" s="1"/>
  <c r="L33" i="10"/>
  <c r="W33" i="10" s="1"/>
  <c r="L26" i="10"/>
  <c r="W26" i="10" s="1"/>
  <c r="L50" i="10"/>
  <c r="W50" i="10" s="1"/>
  <c r="L25" i="10"/>
  <c r="W25" i="10" s="1"/>
  <c r="L54" i="10"/>
  <c r="W54" i="10" s="1"/>
  <c r="L61" i="10"/>
  <c r="W61" i="10" s="1"/>
  <c r="L42" i="10"/>
  <c r="W42" i="10" s="1"/>
  <c r="L30" i="10"/>
  <c r="W30" i="10" s="1"/>
  <c r="L24" i="10"/>
  <c r="W24" i="10" s="1"/>
  <c r="L18" i="10"/>
  <c r="W18" i="10" s="1"/>
  <c r="L43" i="10"/>
  <c r="W43" i="10" s="1"/>
  <c r="L41" i="10"/>
  <c r="W41" i="10" s="1"/>
  <c r="L40" i="10"/>
  <c r="W40" i="10" s="1"/>
  <c r="L39" i="10"/>
  <c r="W39" i="10" s="1"/>
  <c r="H48" i="10"/>
  <c r="S48" i="10" s="1"/>
  <c r="K65" i="10"/>
  <c r="V65" i="10" s="1"/>
  <c r="G25" i="10"/>
  <c r="R25" i="10" s="1"/>
  <c r="L59" i="10"/>
  <c r="W59" i="10" s="1"/>
  <c r="L65" i="10"/>
  <c r="W65" i="10" s="1"/>
  <c r="M11" i="10"/>
  <c r="X11" i="10" s="1"/>
  <c r="P18" i="10"/>
  <c r="AA18" i="10" s="1"/>
  <c r="H22" i="10"/>
  <c r="S22" i="10" s="1"/>
  <c r="M34" i="10"/>
  <c r="X34" i="10" s="1"/>
  <c r="K38" i="10"/>
  <c r="V38" i="10" s="1"/>
  <c r="G41" i="10"/>
  <c r="R41" i="10" s="1"/>
  <c r="G44" i="10"/>
  <c r="R44" i="10" s="1"/>
  <c r="K47" i="10"/>
  <c r="V47" i="10" s="1"/>
  <c r="P52" i="10"/>
  <c r="AA52" i="10" s="1"/>
  <c r="O62" i="10"/>
  <c r="Z62" i="10" s="1"/>
  <c r="B86" i="10"/>
  <c r="N11" i="10"/>
  <c r="Y11" i="10" s="1"/>
  <c r="G16" i="10"/>
  <c r="R16" i="10" s="1"/>
  <c r="I17" i="10"/>
  <c r="T17" i="10" s="1"/>
  <c r="I22" i="10"/>
  <c r="T22" i="10" s="1"/>
  <c r="L23" i="10"/>
  <c r="W23" i="10" s="1"/>
  <c r="G27" i="10"/>
  <c r="R27" i="10" s="1"/>
  <c r="L29" i="10"/>
  <c r="W29" i="10" s="1"/>
  <c r="N34" i="10"/>
  <c r="Y34" i="10" s="1"/>
  <c r="L38" i="10"/>
  <c r="W38" i="10" s="1"/>
  <c r="I41" i="10"/>
  <c r="T41" i="10" s="1"/>
  <c r="P47" i="10"/>
  <c r="AA47" i="10" s="1"/>
  <c r="O56" i="10"/>
  <c r="Z56" i="10" s="1"/>
  <c r="P62" i="10"/>
  <c r="AA62" i="10" s="1"/>
  <c r="D86" i="10"/>
  <c r="K17" i="10"/>
  <c r="V17" i="10" s="1"/>
  <c r="G21" i="10"/>
  <c r="R21" i="10" s="1"/>
  <c r="K22" i="10"/>
  <c r="V22" i="10" s="1"/>
  <c r="K27" i="10"/>
  <c r="V27" i="10" s="1"/>
  <c r="K41" i="10"/>
  <c r="V41" i="10" s="1"/>
  <c r="K44" i="10"/>
  <c r="V44" i="10" s="1"/>
  <c r="G51" i="10"/>
  <c r="R51" i="10" s="1"/>
  <c r="H59" i="10"/>
  <c r="S59" i="10" s="1"/>
  <c r="H61" i="10"/>
  <c r="S61" i="10" s="1"/>
  <c r="H63" i="10"/>
  <c r="S63" i="10" s="1"/>
  <c r="H52" i="10"/>
  <c r="S52" i="10" s="1"/>
  <c r="H62" i="10"/>
  <c r="S62" i="10" s="1"/>
  <c r="H49" i="10"/>
  <c r="S49" i="10" s="1"/>
  <c r="H41" i="10"/>
  <c r="S41" i="10" s="1"/>
  <c r="H25" i="10"/>
  <c r="S25" i="10" s="1"/>
  <c r="H55" i="10"/>
  <c r="S55" i="10" s="1"/>
  <c r="H40" i="10"/>
  <c r="S40" i="10" s="1"/>
  <c r="J73" i="10"/>
  <c r="L73" i="10" s="1"/>
  <c r="M73" i="10" s="1"/>
  <c r="N73" i="10" s="1"/>
  <c r="H43" i="10"/>
  <c r="S43" i="10" s="1"/>
  <c r="H56" i="10"/>
  <c r="S56" i="10" s="1"/>
  <c r="H39" i="10"/>
  <c r="S39" i="10" s="1"/>
  <c r="H57" i="10"/>
  <c r="S57" i="10" s="1"/>
  <c r="B83" i="10"/>
  <c r="H19" i="10"/>
  <c r="S19" i="10" s="1"/>
  <c r="H21" i="10"/>
  <c r="S21" i="10" s="1"/>
  <c r="H15" i="10"/>
  <c r="S15" i="10" s="1"/>
  <c r="H11" i="10"/>
  <c r="S11" i="10" s="1"/>
  <c r="H33" i="10"/>
  <c r="S33" i="10" s="1"/>
  <c r="H20" i="10"/>
  <c r="S20" i="10" s="1"/>
  <c r="H64" i="10"/>
  <c r="S64" i="10" s="1"/>
  <c r="H26" i="10"/>
  <c r="S26" i="10" s="1"/>
  <c r="H32" i="10"/>
  <c r="S32" i="10" s="1"/>
  <c r="H58" i="10"/>
  <c r="S58" i="10" s="1"/>
  <c r="H54" i="10"/>
  <c r="S54" i="10" s="1"/>
  <c r="H31" i="10"/>
  <c r="S31" i="10" s="1"/>
  <c r="H13" i="10"/>
  <c r="S13" i="10" s="1"/>
  <c r="L17" i="10"/>
  <c r="W17" i="10" s="1"/>
  <c r="L22" i="10"/>
  <c r="W22" i="10" s="1"/>
  <c r="L27" i="10"/>
  <c r="W27" i="10" s="1"/>
  <c r="M28" i="10"/>
  <c r="X28" i="10" s="1"/>
  <c r="L32" i="10"/>
  <c r="W32" i="10" s="1"/>
  <c r="O33" i="10"/>
  <c r="Z33" i="10" s="1"/>
  <c r="L44" i="10"/>
  <c r="W44" i="10" s="1"/>
  <c r="G46" i="10"/>
  <c r="R46" i="10" s="1"/>
  <c r="H51" i="10"/>
  <c r="S51" i="10" s="1"/>
  <c r="H53" i="10"/>
  <c r="S53" i="10" s="1"/>
  <c r="I15" i="10"/>
  <c r="T15" i="10" s="1"/>
  <c r="K16" i="10"/>
  <c r="V16" i="10" s="1"/>
  <c r="N22" i="10"/>
  <c r="Y22" i="10" s="1"/>
  <c r="M27" i="10"/>
  <c r="X27" i="10" s="1"/>
  <c r="N28" i="10"/>
  <c r="Y28" i="10" s="1"/>
  <c r="M32" i="10"/>
  <c r="X32" i="10" s="1"/>
  <c r="G36" i="10"/>
  <c r="R36" i="10" s="1"/>
  <c r="M37" i="10"/>
  <c r="X37" i="10" s="1"/>
  <c r="G40" i="10"/>
  <c r="R40" i="10" s="1"/>
  <c r="H46" i="10"/>
  <c r="S46" i="10" s="1"/>
  <c r="I51" i="10"/>
  <c r="T51" i="10" s="1"/>
  <c r="I53" i="10"/>
  <c r="T53" i="10" s="1"/>
  <c r="I55" i="10"/>
  <c r="T55" i="10" s="1"/>
  <c r="G59" i="10"/>
  <c r="R59" i="10" s="1"/>
  <c r="L63" i="10"/>
  <c r="W63" i="10" s="1"/>
  <c r="G65" i="10"/>
  <c r="R65" i="10" s="1"/>
  <c r="L74" i="10"/>
  <c r="M74" i="10" s="1"/>
  <c r="N74" i="10" s="1"/>
  <c r="B80" i="10" l="1"/>
  <c r="H76" i="10"/>
  <c r="I12" i="10"/>
  <c r="T12" i="10" s="1"/>
  <c r="M12" i="10"/>
  <c r="X12" i="10" s="1"/>
  <c r="K12" i="10"/>
  <c r="V12" i="10" s="1"/>
  <c r="P12" i="10"/>
  <c r="AA12" i="10" s="1"/>
  <c r="L72" i="10"/>
  <c r="M72" i="10" s="1"/>
  <c r="N72" i="10" s="1"/>
  <c r="O10" i="10"/>
  <c r="Z10" i="10" s="1"/>
  <c r="H10" i="10"/>
  <c r="S10" i="10" s="1"/>
  <c r="O12" i="10"/>
  <c r="Z12" i="10" s="1"/>
  <c r="J12" i="10"/>
  <c r="U12" i="10" s="1"/>
  <c r="P10" i="10"/>
  <c r="AA10" i="10" s="1"/>
  <c r="N10" i="10"/>
  <c r="Y10" i="10" s="1"/>
  <c r="K10" i="10"/>
  <c r="V10" i="10" s="1"/>
  <c r="G12" i="10"/>
  <c r="R12" i="10" s="1"/>
  <c r="G10" i="10"/>
  <c r="R10" i="10" s="1"/>
  <c r="H12" i="10"/>
  <c r="S12" i="10" s="1"/>
  <c r="N12" i="10"/>
  <c r="Y12" i="10" s="1"/>
  <c r="E85" i="10" l="1"/>
  <c r="F85" i="10" s="1"/>
  <c r="G82" i="10"/>
  <c r="H82" i="10" s="1"/>
  <c r="I82" i="10" s="1"/>
  <c r="E88" i="10"/>
  <c r="F88" i="10" s="1"/>
  <c r="E90" i="10"/>
  <c r="F90" i="10" s="1"/>
  <c r="G87" i="10"/>
  <c r="H87" i="10" s="1"/>
  <c r="I87" i="10" s="1"/>
  <c r="E91" i="10"/>
  <c r="F91" i="10" s="1"/>
  <c r="E89" i="10"/>
  <c r="F89" i="10" s="1"/>
  <c r="G91" i="10"/>
  <c r="H91" i="10" s="1"/>
  <c r="I91" i="10" s="1"/>
  <c r="D80" i="10"/>
  <c r="G86" i="10"/>
  <c r="H86" i="10" s="1"/>
  <c r="I86" i="10" s="1"/>
  <c r="G88" i="10"/>
  <c r="H88" i="10" s="1"/>
  <c r="I88" i="10" s="1"/>
  <c r="E87" i="10"/>
  <c r="F87" i="10" s="1"/>
  <c r="G84" i="10"/>
  <c r="H84" i="10" s="1"/>
  <c r="I84" i="10" s="1"/>
  <c r="E82" i="10"/>
  <c r="F82" i="10" s="1"/>
  <c r="G89" i="10"/>
  <c r="H89" i="10" s="1"/>
  <c r="I89" i="10" s="1"/>
  <c r="E86" i="10"/>
  <c r="F86" i="10" s="1"/>
  <c r="G83" i="10"/>
  <c r="H83" i="10" s="1"/>
  <c r="I83" i="10" s="1"/>
  <c r="G85" i="10"/>
  <c r="H85" i="10" s="1"/>
  <c r="I85" i="10" s="1"/>
  <c r="E84" i="10"/>
  <c r="F84" i="10" s="1"/>
  <c r="G90" i="10"/>
  <c r="H90" i="10" s="1"/>
  <c r="I90" i="10" s="1"/>
  <c r="E83" i="10"/>
  <c r="F83" i="10" s="1"/>
  <c r="F80" i="10" l="1"/>
  <c r="E80" i="10"/>
  <c r="H80" i="10" s="1"/>
  <c r="G80" i="10" l="1"/>
</calcChain>
</file>

<file path=xl/sharedStrings.xml><?xml version="1.0" encoding="utf-8"?>
<sst xmlns="http://schemas.openxmlformats.org/spreadsheetml/2006/main" count="389" uniqueCount="180">
  <si>
    <t>Panasonic IMC - Manufacturer Catalogue Data</t>
  </si>
  <si>
    <t>Brand</t>
  </si>
  <si>
    <t>Series / type</t>
  </si>
  <si>
    <t>Item No.</t>
  </si>
  <si>
    <t>Trade size (inch)</t>
  </si>
  <si>
    <t>Outside diameter (mm)</t>
  </si>
  <si>
    <t>Minimum wall thickness (mm)</t>
  </si>
  <si>
    <t>Length (mm)</t>
  </si>
  <si>
    <t>Nominal weight (kg/pc)</t>
  </si>
  <si>
    <t>Primary bundle (pcs)</t>
  </si>
  <si>
    <t>Master bundle (pcs)</t>
  </si>
  <si>
    <t>ID_screening (mm)</t>
  </si>
  <si>
    <t>Area_screening (mm2)</t>
  </si>
  <si>
    <t>Confirmed actual ID (mm)</t>
  </si>
  <si>
    <t>Confirmed internal area (mm2)</t>
  </si>
  <si>
    <t>Standard / listing</t>
  </si>
  <si>
    <t>Source page</t>
  </si>
  <si>
    <t>Status / remark</t>
  </si>
  <si>
    <t>Panasonic</t>
  </si>
  <si>
    <t>White Conduit IMC</t>
  </si>
  <si>
    <t>DWM012Y</t>
  </si>
  <si>
    <t>1/2</t>
  </si>
  <si>
    <t>UL 1242; catalogue also shows TIS 770 coverage</t>
  </si>
  <si>
    <t>PDF page 5 (printed pp. 7-8)</t>
  </si>
  <si>
    <t>OPEN - confirm current product/certificate and actual ID</t>
  </si>
  <si>
    <t>DWM034Y</t>
  </si>
  <si>
    <t>3/4</t>
  </si>
  <si>
    <t>DWM100Y</t>
  </si>
  <si>
    <t>1</t>
  </si>
  <si>
    <t>DWM114Y</t>
  </si>
  <si>
    <t>1-1/4</t>
  </si>
  <si>
    <t>DWM112Y</t>
  </si>
  <si>
    <t>1-1/2</t>
  </si>
  <si>
    <t>DWM200Y</t>
  </si>
  <si>
    <t>2</t>
  </si>
  <si>
    <t>DWM212Y</t>
  </si>
  <si>
    <t>2-1/2</t>
  </si>
  <si>
    <t>DWM300Y</t>
  </si>
  <si>
    <t>3</t>
  </si>
  <si>
    <t>DWM312Y</t>
  </si>
  <si>
    <t>3-1/2</t>
  </si>
  <si>
    <t>DWM400Y</t>
  </si>
  <si>
    <t>4</t>
  </si>
  <si>
    <t>CSA (mm²)</t>
  </si>
  <si>
    <t>Phelps Dodge H1Z2Z2-K 4 mm²</t>
  </si>
  <si>
    <t>Phelps Dodge H1Z2Z2-K 6 mm²</t>
  </si>
  <si>
    <t>Maximum Cable Count in Panasonic IMC - EIT Physical Fill Screening</t>
  </si>
  <si>
    <t>Rev.4: IMC fill screening is governed by the number of cable pieces (Qty). Cores/cable is informational only. The left matrix gives maximum Qty by IMC size; the right matrix uses that left Qty to show total fill %. Actual certified IMC ID is required before IFC.</t>
  </si>
  <si>
    <t>วสท. 022001-22 ตาราง 5-3: 1 เส้น 53%, 2 เส้น 31%, 3 เส้นขึ้นไป 40%. ตารางนี้แสดงจำนวนสาย/เคเบิลเป็นชิ้น ไม่ใช่จำนวนวงจร และยังไม่รวม ampacity/grouping/bending/pulling checks</t>
  </si>
  <si>
    <t>IMC internal ID เป็น screening = Panasonic catalogue OD - 2 x minimum wall thickness; ต้องเปลี่ยนเป็น actual certified ID ก่อน issue design. ค่า 0 = ใส่ไม่ได้ตาม physical fill ของท่อขนาดนั้น</t>
  </si>
  <si>
    <t>Qty 1 = 53%, Qty 2 = 31%, Qty 3 or more = 40%</t>
  </si>
  <si>
    <t>Panasonic IMC trade size</t>
  </si>
  <si>
    <t>1/2 in</t>
  </si>
  <si>
    <t>3/4 in</t>
  </si>
  <si>
    <t>1 in</t>
  </si>
  <si>
    <t>1-1/4 in</t>
  </si>
  <si>
    <t>1-1/2 in</t>
  </si>
  <si>
    <t>2 in</t>
  </si>
  <si>
    <t>2-1/2 in</t>
  </si>
  <si>
    <t>3 in</t>
  </si>
  <si>
    <t>3-1/2 in</t>
  </si>
  <si>
    <t>4 in</t>
  </si>
  <si>
    <t>Added comparison: total fill at the maximum Qty from the left matrix</t>
  </si>
  <si>
    <t>Screening internal ID (mm)</t>
  </si>
  <si>
    <t>Formula = left-table Qty × cable area / IMC internal area. This is the full fill percentage for the Qty shown in the left table, not a one-cable ratio.</t>
  </si>
  <si>
    <t>Internal area (mm²)</t>
  </si>
  <si>
    <t>System</t>
  </si>
  <si>
    <t>Cable family</t>
  </si>
  <si>
    <t>Cores / cable (info.)</t>
  </si>
  <si>
    <t>CSA mm²</t>
  </si>
  <si>
    <t>OD mm</t>
  </si>
  <si>
    <t>Cable area mm²</t>
  </si>
  <si>
    <t>Cable / row</t>
  </si>
  <si>
    <t>PV</t>
  </si>
  <si>
    <t>Phelps Dodge H1Z2Z2-K 10 mm²</t>
  </si>
  <si>
    <t>Phelps Dodge H1Z2Z2-K 16 mm²</t>
  </si>
  <si>
    <t>AC</t>
  </si>
  <si>
    <t>Phelps Dodge CV/CV-FD-1C | 25 mm²</t>
  </si>
  <si>
    <t>Phelps Dodge CV/CV-FD-1C | 35 mm²</t>
  </si>
  <si>
    <t>Phelps Dodge CV/CV-FD-1C | 50 mm²</t>
  </si>
  <si>
    <t>Phelps Dodge CV/CV-FD-1C | 70 mm²</t>
  </si>
  <si>
    <t>Phelps Dodge CV/CV-FD-1C | 95 mm²</t>
  </si>
  <si>
    <t>Phelps Dodge CV/CV-FD-1C | 120 mm²</t>
  </si>
  <si>
    <t>Phelps Dodge CV/CV-FD-1C | 150 mm²</t>
  </si>
  <si>
    <t>Phelps Dodge CV/CV-FD-1C | 185 mm²</t>
  </si>
  <si>
    <t>Phelps Dodge CV/CV-FD-1C | 240 mm²</t>
  </si>
  <si>
    <t>Phelps Dodge CV/CV-FD-1C | 300 mm²</t>
  </si>
  <si>
    <t>Phelps Dodge CV/CV-FD-1C | 400 mm²</t>
  </si>
  <si>
    <t>Phelps Dodge CV/CV-FD-1C | 500 mm²</t>
  </si>
  <si>
    <t>Phelps Dodge CV/CV-FD-1C | 630 mm²</t>
  </si>
  <si>
    <t>Phelps Dodge CV/CV-FD-2C | 10 mm²</t>
  </si>
  <si>
    <t>Phelps Dodge CV/CV-FD-2C | 16 mm²</t>
  </si>
  <si>
    <t>Phelps Dodge CV/CV-FD-2C | 25 mm²</t>
  </si>
  <si>
    <t>Phelps Dodge CV/CV-FD-2C | 35 mm²</t>
  </si>
  <si>
    <t>Phelps Dodge CV/CV-FD-2C | 50 mm²</t>
  </si>
  <si>
    <t>Phelps Dodge CV/CV-FD-2C | 70 mm²</t>
  </si>
  <si>
    <t>Phelps Dodge CV/CV-FD-2C | 95 mm²</t>
  </si>
  <si>
    <t>Phelps Dodge CV/CV-FD-2C | 120 mm²</t>
  </si>
  <si>
    <t>Phelps Dodge CV/CV-FD-2C | 150 mm²</t>
  </si>
  <si>
    <t>Phelps Dodge CV/CV-FD-2C | 185 mm²</t>
  </si>
  <si>
    <t>Phelps Dodge CV/CV-FD-2C | 240 mm²</t>
  </si>
  <si>
    <t>Phelps Dodge CV/CV-FD-2C | 300 mm²</t>
  </si>
  <si>
    <t>Phelps Dodge CV/CV-FD-2C | 400 mm²</t>
  </si>
  <si>
    <t>Phelps Dodge CV/CV-FD-3C | 10 mm²</t>
  </si>
  <si>
    <t>Phelps Dodge CV/CV-FD-3C | 16 mm²</t>
  </si>
  <si>
    <t>Phelps Dodge CV/CV-FD-3C | 25 mm²</t>
  </si>
  <si>
    <t>Phelps Dodge CV/CV-FD-3C | 35 mm²</t>
  </si>
  <si>
    <t>Phelps Dodge CV/CV-FD-3C | 50 mm²</t>
  </si>
  <si>
    <t>Phelps Dodge CV/CV-FD-3C | 70 mm²</t>
  </si>
  <si>
    <t>Phelps Dodge CV/CV-FD-3C | 95 mm²</t>
  </si>
  <si>
    <t>Phelps Dodge CV/CV-FD-3C | 120 mm²</t>
  </si>
  <si>
    <t>Phelps Dodge CV/CV-FD-3C | 150 mm²</t>
  </si>
  <si>
    <t>Phelps Dodge CV/CV-FD-3C | 185 mm²</t>
  </si>
  <si>
    <t>Phelps Dodge CV/CV-FD-3C | 240 mm²</t>
  </si>
  <si>
    <t>Phelps Dodge CV/CV-FD-3C | 300 mm²</t>
  </si>
  <si>
    <t>Phelps Dodge CV/CV-FD-3C | 400 mm²</t>
  </si>
  <si>
    <t>Phelps Dodge CV/CV-FD-4C | 10 mm²</t>
  </si>
  <si>
    <t>Phelps Dodge CV/CV-FD-4C | 16 mm²</t>
  </si>
  <si>
    <t>Phelps Dodge CV/CV-FD-4C | 25 mm²</t>
  </si>
  <si>
    <t>Phelps Dodge CV/CV-FD-4C | 35 mm²</t>
  </si>
  <si>
    <t>Phelps Dodge CV/CV-FD-4C | 50 mm²</t>
  </si>
  <si>
    <t>Phelps Dodge CV/CV-FD-4C | 70 mm²</t>
  </si>
  <si>
    <t>Phelps Dodge CV/CV-FD-4C | 95 mm²</t>
  </si>
  <si>
    <t>Phelps Dodge CV/CV-FD-4C | 120 mm²</t>
  </si>
  <si>
    <t>Phelps Dodge CV/CV-FD-4C | 150 mm²</t>
  </si>
  <si>
    <t>Phelps Dodge CV/CV-FD-4C | 185 mm²</t>
  </si>
  <si>
    <t>Phelps Dodge CV/CV-FD-4C | 240 mm²</t>
  </si>
  <si>
    <t>Phelps Dodge CV/CV-FD-4C | 300 mm²</t>
  </si>
  <si>
    <t>Phelps Dodge CV/CV-FD-4C | 400 mm²</t>
  </si>
  <si>
    <t>User-entry IMC cable mix | total cable area vs WST fill condition</t>
  </si>
  <si>
    <t>Enter cable type/CSA/OD/Qty per row. WST allowed fill uses TOTAL Qty in the mix: Qty 1 = 53%, Qty 2 = 31%, Qty 3 or more = 40%. Cores/cable is informational only.</t>
  </si>
  <si>
    <t>Line</t>
  </si>
  <si>
    <t>Cable type / model</t>
  </si>
  <si>
    <t>OD (mm)</t>
  </si>
  <si>
    <t>Qty</t>
  </si>
  <si>
    <t>Area / cable (mm²)</t>
  </si>
  <si>
    <t>Total cable area (mm²)</t>
  </si>
  <si>
    <t>IMC trade size</t>
  </si>
  <si>
    <t>IMC internal area (mm²)</t>
  </si>
  <si>
    <t>WST allowed fill (total Qty)</t>
  </si>
  <si>
    <t>Fill % = total cable area / conduit area</t>
  </si>
  <si>
    <t>WST match</t>
  </si>
  <si>
    <t>Engineering result</t>
  </si>
  <si>
    <t>Engineering note</t>
  </si>
  <si>
    <t>USER-001</t>
  </si>
  <si>
    <t>Example; total Qty rule; confirm exact OD and certified IMC ID</t>
  </si>
  <si>
    <t>USER-002</t>
  </si>
  <si>
    <t>USER-003</t>
  </si>
  <si>
    <t>USER-004</t>
  </si>
  <si>
    <t>Example; cores/cable shown only for information</t>
  </si>
  <si>
    <t>USER-005</t>
  </si>
  <si>
    <t>Free user-entry row; total Qty rule applies</t>
  </si>
  <si>
    <t>TOTAL ENTERED MIX</t>
  </si>
  <si>
    <t>SEE SUMMARY BELOW</t>
  </si>
  <si>
    <t>กำหนดจากขนาดราง Wireway และดู MAX</t>
  </si>
  <si>
    <t>IMC selection recommendation | linked to TOTAL Qty and TOTAL cable area above</t>
  </si>
  <si>
    <t>The summary checks one common IMC for the entire entered mix. If no single IMC passes, the parallel-conduit column gives the minimum number of equal conduits using the same Qty-based WST fill rule.</t>
  </si>
  <si>
    <t>Total Qty</t>
  </si>
  <si>
    <t>Qty-based WST fill</t>
  </si>
  <si>
    <t>Minimum internal area required (mm²)</t>
  </si>
  <si>
    <t>Recommended single IMC</t>
  </si>
  <si>
    <t>Single fill %</t>
  </si>
  <si>
    <t>Single result</t>
  </si>
  <si>
    <t>Recommendation</t>
  </si>
  <si>
    <t>WST allowed fill</t>
  </si>
  <si>
    <t>Single status</t>
  </si>
  <si>
    <t>Minimum parallel conduits</t>
  </si>
  <si>
    <t>Fill / conduit</t>
  </si>
  <si>
    <t>Recommendation if parallel</t>
  </si>
  <si>
    <t xml:space="preserve">AC Cable (THW) - G 240 sq.mm. </t>
  </si>
  <si>
    <t xml:space="preserve">AC Cable (THW) - G 185 sq.mm. </t>
  </si>
  <si>
    <t xml:space="preserve">AC Cable (THW) - G 120 sq.mm. </t>
  </si>
  <si>
    <t xml:space="preserve">AC Cable (THW) - G 95 sq.mm. </t>
  </si>
  <si>
    <t xml:space="preserve">AC Cable (THW) - G 70 sq.mm. </t>
  </si>
  <si>
    <t xml:space="preserve">AC Cable (THW) - G 50 sq.mm. </t>
  </si>
  <si>
    <t xml:space="preserve">AC Cable (THW) - G 35 sq.mm. </t>
  </si>
  <si>
    <t xml:space="preserve">AC Cable (THW) - G 25 sq.mm. </t>
  </si>
  <si>
    <t xml:space="preserve">AC Cable (THW) - G 16 sq.mm. </t>
  </si>
  <si>
    <t xml:space="preserve">AC Cable (THW) - G 10 sq.mm. </t>
  </si>
  <si>
    <t xml:space="preserve">AC Cable (THW) - G 6 sq.mm.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</si>
</sst>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87" formatCode="0.0%"/>
    <numFmt numFmtId="188" formatCode="0.0"/>
  </numFmts>
  <fonts count="26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sz val="10"/>
      <name val="Carlito"/>
    </font>
    <font>
      <b/>
      <sz val="10"/>
      <color rgb="FFFFFFFF"/>
      <name val="Carlito"/>
    </font>
    <font>
      <i/>
      <sz val="9"/>
      <color rgb="FF7F6000"/>
      <name val="Carlito"/>
    </font>
    <font>
      <sz val="12"/>
      <name val="Carlito"/>
    </font>
    <font>
      <b/>
      <sz val="14"/>
      <name val="Carlito"/>
    </font>
    <font>
      <sz val="14"/>
      <name val="Carlito"/>
    </font>
    <font>
      <b/>
      <sz val="14"/>
      <color rgb="FFFFFFFF"/>
      <name val="Carlito"/>
    </font>
    <font>
      <b/>
      <sz val="12"/>
      <name val="Carlito"/>
    </font>
    <font>
      <b/>
      <sz val="12"/>
      <name val="Carlito"/>
    </font>
    <font>
      <b/>
      <sz val="12"/>
      <color rgb="FF7F6000"/>
      <name val="Carlito"/>
    </font>
    <font>
      <sz val="12"/>
      <color rgb="FF9C0006"/>
      <name val="Carlito"/>
    </font>
    <font>
      <b/>
      <sz val="11"/>
      <name val="Carlito"/>
    </font>
    <font>
      <b/>
      <sz val="11"/>
      <color rgb="FFFF0000"/>
      <name val="Carlito"/>
    </font>
    <font>
      <b/>
      <i/>
      <sz val="12"/>
      <color rgb="FFFF0000"/>
      <name val="Carlito"/>
    </font>
    <font>
      <b/>
      <sz val="16"/>
      <name val="Carlito"/>
    </font>
    <font>
      <i/>
      <sz val="12"/>
      <color rgb="FF7F6000"/>
      <name val="Carlito"/>
    </font>
    <font>
      <b/>
      <sz val="12"/>
      <name val="Carlito"/>
    </font>
    <font>
      <b/>
      <u/>
      <sz val="14"/>
      <name val="Carlito"/>
      <charset val="222"/>
    </font>
    <font>
      <b/>
      <u/>
      <sz val="14"/>
      <name val="Carlito"/>
    </font>
    <font>
      <sz val="12"/>
      <color rgb="FFFF0000"/>
      <name val="Carlito"/>
    </font>
    <font>
      <b/>
      <sz val="12"/>
      <name val="Carlito"/>
      <charset val="222"/>
    </font>
    <font>
      <sz val="9"/>
      <color theme="3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153B5B"/>
      </patternFill>
    </fill>
    <fill>
      <patternFill patternType="solid">
        <fgColor rgb="FF1976A3"/>
      </patternFill>
    </fill>
    <fill>
      <patternFill patternType="solid">
        <fgColor rgb="FFEEF2F4"/>
      </patternFill>
    </fill>
    <fill>
      <patternFill patternType="solid">
        <fgColor rgb="FF17365D"/>
      </patternFill>
    </fill>
    <fill>
      <patternFill patternType="solid">
        <fgColor rgb="FF4472C4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17365D"/>
      </patternFill>
    </fill>
    <fill>
      <patternFill patternType="solid">
        <fgColor rgb="FF0F766E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EAF3F8"/>
      </patternFill>
    </fill>
    <fill>
      <patternFill patternType="solid">
        <fgColor rgb="FF17365D"/>
      </patternFill>
    </fill>
    <fill>
      <patternFill patternType="solid">
        <fgColor rgb="FF0F766E"/>
      </patternFill>
    </fill>
    <fill>
      <patternFill patternType="solid">
        <fgColor rgb="FFFFFF00"/>
      </patternFill>
    </fill>
    <fill>
      <patternFill patternType="solid">
        <fgColor theme="9" tint="0.79992065187536243"/>
        <bgColor indexed="65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D9E1E5"/>
      </left>
      <right style="thin">
        <color rgb="FFD9E1E5"/>
      </right>
      <top style="thin">
        <color rgb="FFD9E1E5"/>
      </top>
      <bottom style="thin">
        <color rgb="FFD9E1E5"/>
      </bottom>
      <diagonal/>
    </border>
    <border>
      <left style="thin">
        <color rgb="FFB7C9DD"/>
      </left>
      <right style="thin">
        <color rgb="FFB7C9DD"/>
      </right>
      <top style="thin">
        <color rgb="FFB7C9DD"/>
      </top>
      <bottom style="thin">
        <color rgb="FFB7C9DD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B7C9D6"/>
      </left>
      <right/>
      <top/>
      <bottom/>
      <diagonal/>
    </border>
  </borders>
  <cellStyleXfs count="2">
    <xf numFmtId="0" fontId="0" fillId="0" borderId="0"/>
    <xf numFmtId="0" fontId="25" fillId="0" borderId="0">
      <alignment vertical="center"/>
    </xf>
  </cellStyleXfs>
  <cellXfs count="6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6" fillId="12" borderId="3" xfId="0" applyFont="1" applyFill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 wrapText="1"/>
    </xf>
    <xf numFmtId="2" fontId="0" fillId="4" borderId="1" xfId="0" applyNumberFormat="1" applyFill="1" applyBorder="1" applyAlignment="1">
      <alignment horizontal="center" vertical="center" wrapText="1"/>
    </xf>
    <xf numFmtId="187" fontId="7" fillId="17" borderId="3" xfId="0" applyNumberFormat="1" applyFont="1" applyFill="1" applyBorder="1" applyAlignment="1">
      <alignment horizontal="center" vertical="center" wrapText="1"/>
    </xf>
    <xf numFmtId="0" fontId="4" fillId="17" borderId="3" xfId="0" applyFont="1" applyFill="1" applyBorder="1" applyAlignment="1">
      <alignment vertical="center" wrapText="1"/>
    </xf>
    <xf numFmtId="0" fontId="5" fillId="19" borderId="3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1" fontId="9" fillId="8" borderId="2" xfId="0" applyNumberFormat="1" applyFont="1" applyFill="1" applyBorder="1" applyAlignment="1">
      <alignment horizontal="center" vertical="center" wrapText="1"/>
    </xf>
    <xf numFmtId="188" fontId="9" fillId="16" borderId="2" xfId="0" applyNumberFormat="1" applyFont="1" applyFill="1" applyBorder="1" applyAlignment="1">
      <alignment horizontal="center" vertical="center" wrapText="1"/>
    </xf>
    <xf numFmtId="188" fontId="9" fillId="8" borderId="2" xfId="0" applyNumberFormat="1" applyFont="1" applyFill="1" applyBorder="1" applyAlignment="1">
      <alignment horizontal="center" vertical="center" wrapText="1"/>
    </xf>
    <xf numFmtId="188" fontId="9" fillId="7" borderId="2" xfId="0" applyNumberFormat="1" applyFont="1" applyFill="1" applyBorder="1" applyAlignment="1">
      <alignment horizontal="center"/>
    </xf>
    <xf numFmtId="0" fontId="6" fillId="12" borderId="3" xfId="0" applyFont="1" applyFill="1" applyBorder="1"/>
    <xf numFmtId="0" fontId="7" fillId="0" borderId="0" xfId="0" applyFont="1"/>
    <xf numFmtId="0" fontId="2" fillId="13" borderId="3" xfId="0" applyFont="1" applyFill="1" applyBorder="1" applyAlignment="1">
      <alignment horizontal="center" vertical="center" wrapText="1"/>
    </xf>
    <xf numFmtId="187" fontId="0" fillId="17" borderId="3" xfId="0" applyNumberFormat="1" applyFill="1" applyBorder="1" applyAlignment="1">
      <alignment horizontal="center" vertical="center" wrapText="1"/>
    </xf>
    <xf numFmtId="0" fontId="0" fillId="17" borderId="3" xfId="0" applyFill="1" applyBorder="1" applyAlignment="1">
      <alignment horizontal="center" vertical="center" wrapText="1"/>
    </xf>
    <xf numFmtId="0" fontId="0" fillId="15" borderId="3" xfId="0" applyFill="1" applyBorder="1" applyAlignment="1">
      <alignment horizontal="left" vertical="center"/>
    </xf>
    <xf numFmtId="0" fontId="7" fillId="15" borderId="3" xfId="0" applyFont="1" applyFill="1" applyBorder="1" applyAlignment="1">
      <alignment horizontal="center" vertical="center" wrapText="1"/>
    </xf>
    <xf numFmtId="188" fontId="7" fillId="17" borderId="3" xfId="0" applyNumberFormat="1" applyFont="1" applyFill="1" applyBorder="1" applyAlignment="1">
      <alignment horizontal="center" vertical="center" wrapText="1"/>
    </xf>
    <xf numFmtId="188" fontId="7" fillId="15" borderId="3" xfId="0" applyNumberFormat="1" applyFont="1" applyFill="1" applyBorder="1" applyAlignment="1">
      <alignment horizontal="center" vertical="center" wrapText="1"/>
    </xf>
    <xf numFmtId="0" fontId="7" fillId="17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9" fillId="14" borderId="3" xfId="0" applyFont="1" applyFill="1" applyBorder="1" applyAlignment="1">
      <alignment horizontal="center" vertical="center" wrapText="1"/>
    </xf>
    <xf numFmtId="187" fontId="8" fillId="17" borderId="3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0" fillId="14" borderId="3" xfId="0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6" fillId="0" borderId="0" xfId="0" applyFont="1"/>
    <xf numFmtId="2" fontId="0" fillId="20" borderId="1" xfId="0" applyNumberFormat="1" applyFill="1" applyBorder="1" applyAlignment="1">
      <alignment horizontal="center" vertical="center" wrapText="1"/>
    </xf>
    <xf numFmtId="2" fontId="0" fillId="21" borderId="1" xfId="0" applyNumberFormat="1" applyFill="1" applyBorder="1" applyAlignment="1">
      <alignment horizontal="center" vertical="center" wrapText="1"/>
    </xf>
    <xf numFmtId="0" fontId="15" fillId="16" borderId="3" xfId="0" applyFont="1" applyFill="1" applyBorder="1" applyAlignment="1">
      <alignment vertical="center" wrapText="1"/>
    </xf>
    <xf numFmtId="0" fontId="12" fillId="16" borderId="3" xfId="0" applyFont="1" applyFill="1" applyBorder="1" applyAlignment="1">
      <alignment horizontal="center" vertical="center" wrapText="1"/>
    </xf>
    <xf numFmtId="0" fontId="15" fillId="17" borderId="3" xfId="0" applyFont="1" applyFill="1" applyBorder="1" applyAlignment="1">
      <alignment horizontal="center" vertical="center" wrapText="1"/>
    </xf>
    <xf numFmtId="187" fontId="15" fillId="17" borderId="3" xfId="0" applyNumberFormat="1" applyFont="1" applyFill="1" applyBorder="1" applyAlignment="1">
      <alignment horizontal="center" vertical="center" wrapText="1"/>
    </xf>
    <xf numFmtId="187" fontId="15" fillId="16" borderId="3" xfId="0" applyNumberFormat="1" applyFont="1" applyFill="1" applyBorder="1" applyAlignment="1">
      <alignment vertical="center" wrapText="1"/>
    </xf>
    <xf numFmtId="1" fontId="18" fillId="17" borderId="2" xfId="0" applyNumberFormat="1" applyFont="1" applyFill="1" applyBorder="1" applyAlignment="1">
      <alignment horizontal="center" vertical="center" wrapText="1"/>
    </xf>
    <xf numFmtId="1" fontId="18" fillId="7" borderId="2" xfId="0" applyNumberFormat="1" applyFont="1" applyFill="1" applyBorder="1" applyAlignment="1">
      <alignment horizontal="center" vertical="center" wrapText="1"/>
    </xf>
    <xf numFmtId="0" fontId="20" fillId="17" borderId="3" xfId="0" applyFont="1" applyFill="1" applyBorder="1" applyAlignment="1">
      <alignment horizontal="center" vertical="center" wrapText="1"/>
    </xf>
    <xf numFmtId="188" fontId="3" fillId="22" borderId="3" xfId="0" applyNumberFormat="1" applyFont="1" applyFill="1" applyBorder="1" applyAlignment="1">
      <alignment horizontal="center" vertical="center" wrapText="1"/>
    </xf>
    <xf numFmtId="0" fontId="11" fillId="22" borderId="3" xfId="0" applyFont="1" applyFill="1" applyBorder="1" applyAlignment="1">
      <alignment horizontal="center" vertical="center" wrapText="1"/>
    </xf>
    <xf numFmtId="0" fontId="3" fillId="22" borderId="3" xfId="0" applyFont="1" applyFill="1" applyBorder="1" applyAlignment="1">
      <alignment horizontal="center" vertical="center" wrapText="1"/>
    </xf>
    <xf numFmtId="187" fontId="3" fillId="22" borderId="3" xfId="0" applyNumberFormat="1" applyFont="1" applyFill="1" applyBorder="1" applyAlignment="1">
      <alignment horizontal="center" vertical="center" wrapText="1"/>
    </xf>
    <xf numFmtId="0" fontId="21" fillId="21" borderId="3" xfId="0" applyFont="1" applyFill="1" applyBorder="1" applyAlignment="1">
      <alignment horizontal="center" vertical="center" wrapText="1"/>
    </xf>
    <xf numFmtId="0" fontId="22" fillId="16" borderId="3" xfId="0" applyFont="1" applyFill="1" applyBorder="1" applyAlignment="1">
      <alignment horizontal="center" vertical="center" wrapText="1"/>
    </xf>
    <xf numFmtId="0" fontId="7" fillId="23" borderId="3" xfId="0" applyFont="1" applyFill="1" applyBorder="1" applyAlignment="1">
      <alignment horizontal="center" vertical="center" wrapText="1"/>
    </xf>
    <xf numFmtId="0" fontId="23" fillId="15" borderId="3" xfId="0" applyFont="1" applyFill="1" applyBorder="1" applyAlignment="1">
      <alignment horizontal="center" vertical="center" wrapText="1"/>
    </xf>
    <xf numFmtId="0" fontId="24" fillId="15" borderId="3" xfId="0" applyFont="1" applyFill="1" applyBorder="1" applyAlignment="1">
      <alignment horizontal="center" vertical="center" wrapText="1"/>
    </xf>
    <xf numFmtId="0" fontId="0" fillId="24" borderId="0" xfId="0" applyFill="1"/>
    <xf numFmtId="0" fontId="19" fillId="15" borderId="3" xfId="0" applyFont="1" applyFill="1" applyBorder="1" applyAlignment="1">
      <alignment horizontal="left" vertical="center" wrapText="1"/>
    </xf>
    <xf numFmtId="0" fontId="17" fillId="12" borderId="4" xfId="0" applyFont="1" applyFill="1" applyBorder="1" applyAlignment="1">
      <alignment horizontal="center" wrapText="1"/>
    </xf>
    <xf numFmtId="0" fontId="17" fillId="12" borderId="0" xfId="0" applyFont="1" applyFill="1" applyAlignment="1">
      <alignment horizontal="center" wrapText="1"/>
    </xf>
    <xf numFmtId="0" fontId="1" fillId="5" borderId="0" xfId="0" applyFont="1" applyFill="1" applyAlignment="1">
      <alignment vertical="center"/>
    </xf>
    <xf numFmtId="0" fontId="13" fillId="8" borderId="0" xfId="0" applyFont="1" applyFill="1" applyAlignment="1">
      <alignment wrapText="1"/>
    </xf>
    <xf numFmtId="0" fontId="14" fillId="9" borderId="0" xfId="0" applyFont="1" applyFill="1" applyAlignment="1">
      <alignment wrapText="1"/>
    </xf>
    <xf numFmtId="0" fontId="10" fillId="6" borderId="2" xfId="0" applyFont="1" applyFill="1" applyBorder="1" applyAlignment="1">
      <alignment horizontal="left" vertical="center" wrapText="1"/>
    </xf>
    <xf numFmtId="0" fontId="9" fillId="7" borderId="2" xfId="0" applyFont="1" applyFill="1" applyBorder="1" applyAlignment="1">
      <alignment horizontal="left"/>
    </xf>
    <xf numFmtId="0" fontId="5" fillId="10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19" fillId="12" borderId="3" xfId="0" applyFont="1" applyFill="1" applyBorder="1" applyAlignment="1">
      <alignment vertical="center" wrapText="1"/>
    </xf>
    <xf numFmtId="0" fontId="2" fillId="18" borderId="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</cellXfs>
  <cellStyles count="2">
    <cellStyle name="Normal" xfId="0" builtinId="0"/>
    <cellStyle name="Normal 2" xfId="1" xr:uid="{7B9749D4-B53D-4436-9A3D-2C180BB23648}"/>
  </cellStyles>
  <dxfs count="29">
    <dxf>
      <font>
        <b/>
        <color rgb="FF9C0006"/>
      </font>
      <fill>
        <patternFill>
          <bgColor rgb="FFF4CCCC"/>
        </patternFill>
      </fill>
    </dxf>
    <dxf>
      <font>
        <b/>
        <color rgb="FFC65911"/>
      </font>
      <fill>
        <patternFill>
          <bgColor rgb="FFFCE4D6"/>
        </patternFill>
      </fill>
    </dxf>
    <dxf>
      <font>
        <b/>
        <color rgb="FFC65911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C65911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C65911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C65911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C65911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C65911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1" defaultTableStyle="TableStyleMedium2" defaultPivotStyle="PivotStyleLight16">
    <tableStyle name="Invisible" pivot="0" table="0" count="0" xr9:uid="{3F42E5BF-D5CA-4728-88EB-973B19F0AD7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457199</xdr:colOff>
      <xdr:row>92</xdr:row>
      <xdr:rowOff>97971</xdr:rowOff>
    </xdr:from>
    <xdr:to>
      <xdr:col>8</xdr:col>
      <xdr:colOff>304799</xdr:colOff>
      <xdr:row>134</xdr:row>
      <xdr:rowOff>151347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5FB7E7-9309-C7C2-6FF7-8536DEAC10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199" y="26974800"/>
          <a:ext cx="8730343" cy="73685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B050"/>
  </sheetPr>
  <dimension ref="A1:Q13"/>
  <sheetViews>
    <sheetView showGridLines="0" workbookViewId="0">
      <selection activeCell="K5" sqref="K5"/>
    </sheetView>
  </sheetViews>
  <sheetFormatPr defaultRowHeight="14.25"/>
  <cols>
    <col min="1" max="1" width="9.5" customWidth="1"/>
    <col min="2" max="2" width="16.125" customWidth="1"/>
    <col min="3" max="3" width="9.625" customWidth="1"/>
    <col min="4" max="4" width="10.75" customWidth="1"/>
    <col min="5" max="5" width="13.5" customWidth="1"/>
    <col min="6" max="6" width="14.25" customWidth="1"/>
    <col min="7" max="7" width="11.875" customWidth="1"/>
    <col min="8" max="8" width="15" customWidth="1"/>
    <col min="9" max="9" width="14.75" customWidth="1"/>
    <col min="10" max="10" width="14.25" customWidth="1"/>
    <col min="11" max="11" width="13.25" customWidth="1"/>
    <col min="12" max="12" width="14.875" customWidth="1"/>
    <col min="13" max="13" width="13.375" customWidth="1"/>
    <col min="14" max="14" width="12.5" customWidth="1"/>
    <col min="15" max="15" width="42" customWidth="1"/>
    <col min="16" max="16" width="24.375" customWidth="1"/>
    <col min="17" max="17" width="47.375" customWidth="1"/>
  </cols>
  <sheetData>
    <row r="1" spans="1:17" ht="30" customHeight="1">
      <c r="A1" s="67" t="s">
        <v>0</v>
      </c>
      <c r="B1" s="67" t="s">
        <v>0</v>
      </c>
      <c r="C1" s="67" t="s">
        <v>0</v>
      </c>
      <c r="D1" s="67" t="s">
        <v>0</v>
      </c>
      <c r="E1" s="67" t="s">
        <v>0</v>
      </c>
      <c r="F1" s="67" t="s">
        <v>0</v>
      </c>
      <c r="G1" s="67" t="s">
        <v>0</v>
      </c>
      <c r="H1" s="67" t="s">
        <v>0</v>
      </c>
      <c r="I1" s="67" t="s">
        <v>0</v>
      </c>
      <c r="J1" s="67" t="s">
        <v>0</v>
      </c>
      <c r="K1" s="67" t="s">
        <v>0</v>
      </c>
      <c r="L1" s="67" t="s">
        <v>0</v>
      </c>
      <c r="M1" s="67" t="s">
        <v>0</v>
      </c>
      <c r="N1" s="67" t="s">
        <v>0</v>
      </c>
      <c r="O1" s="67" t="s">
        <v>0</v>
      </c>
      <c r="P1" s="67" t="s">
        <v>0</v>
      </c>
      <c r="Q1" s="67" t="s">
        <v>0</v>
      </c>
    </row>
    <row r="2" spans="1:17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4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</row>
    <row r="4" spans="1:17" ht="24.95" customHeight="1">
      <c r="A4" s="3" t="s">
        <v>18</v>
      </c>
      <c r="B4" s="3" t="s">
        <v>19</v>
      </c>
      <c r="C4" s="3" t="s">
        <v>20</v>
      </c>
      <c r="D4" s="5" t="s">
        <v>21</v>
      </c>
      <c r="E4" s="6">
        <v>20.7</v>
      </c>
      <c r="F4" s="6">
        <v>1.79</v>
      </c>
      <c r="G4" s="7">
        <v>3030</v>
      </c>
      <c r="H4" s="7">
        <v>2.85</v>
      </c>
      <c r="I4" s="7">
        <v>10</v>
      </c>
      <c r="J4" s="7">
        <v>300</v>
      </c>
      <c r="K4" s="8">
        <f t="shared" ref="K4:K13" si="0">E4-2*F4</f>
        <v>17.119999999999997</v>
      </c>
      <c r="L4" s="8">
        <f t="shared" ref="L4:L13" si="1">PI()*K4^2/4</f>
        <v>230.19580346207698</v>
      </c>
      <c r="M4" s="35">
        <v>17.119999999999997</v>
      </c>
      <c r="N4" s="36">
        <f t="shared" ref="N4:N13" si="2">IF(M4="","",PI()*M4^2/4)</f>
        <v>230.19580346207698</v>
      </c>
      <c r="O4" s="3" t="s">
        <v>22</v>
      </c>
      <c r="P4" s="3" t="s">
        <v>23</v>
      </c>
      <c r="Q4" s="3" t="s">
        <v>24</v>
      </c>
    </row>
    <row r="5" spans="1:17" ht="24.95" customHeight="1">
      <c r="A5" s="3" t="s">
        <v>18</v>
      </c>
      <c r="B5" s="3" t="s">
        <v>19</v>
      </c>
      <c r="C5" s="3" t="s">
        <v>25</v>
      </c>
      <c r="D5" s="5" t="s">
        <v>26</v>
      </c>
      <c r="E5" s="6">
        <v>26.14</v>
      </c>
      <c r="F5" s="6">
        <v>1.9</v>
      </c>
      <c r="G5" s="7">
        <v>3030</v>
      </c>
      <c r="H5" s="7">
        <v>3.94</v>
      </c>
      <c r="I5" s="7">
        <v>5</v>
      </c>
      <c r="J5" s="7">
        <v>250</v>
      </c>
      <c r="K5" s="8">
        <f t="shared" si="0"/>
        <v>22.34</v>
      </c>
      <c r="L5" s="8">
        <f t="shared" si="1"/>
        <v>391.97305963647955</v>
      </c>
      <c r="M5" s="35">
        <v>22.34</v>
      </c>
      <c r="N5" s="36">
        <f t="shared" si="2"/>
        <v>391.97305963647955</v>
      </c>
      <c r="O5" s="3" t="s">
        <v>22</v>
      </c>
      <c r="P5" s="3" t="s">
        <v>23</v>
      </c>
      <c r="Q5" s="3" t="s">
        <v>24</v>
      </c>
    </row>
    <row r="6" spans="1:17" ht="24.95" customHeight="1">
      <c r="A6" s="3" t="s">
        <v>18</v>
      </c>
      <c r="B6" s="3" t="s">
        <v>19</v>
      </c>
      <c r="C6" s="3" t="s">
        <v>27</v>
      </c>
      <c r="D6" s="5" t="s">
        <v>28</v>
      </c>
      <c r="E6" s="6">
        <v>32.770000000000003</v>
      </c>
      <c r="F6" s="6">
        <v>2.16</v>
      </c>
      <c r="G6" s="7">
        <v>3025</v>
      </c>
      <c r="H6" s="7">
        <v>5.23</v>
      </c>
      <c r="I6" s="7">
        <v>5</v>
      </c>
      <c r="J6" s="7">
        <v>125</v>
      </c>
      <c r="K6" s="8">
        <f t="shared" si="0"/>
        <v>28.450000000000003</v>
      </c>
      <c r="L6" s="8">
        <f t="shared" si="1"/>
        <v>635.70323694930323</v>
      </c>
      <c r="M6" s="35">
        <v>28.450000000000003</v>
      </c>
      <c r="N6" s="36">
        <f t="shared" si="2"/>
        <v>635.70323694930323</v>
      </c>
      <c r="O6" s="3" t="s">
        <v>22</v>
      </c>
      <c r="P6" s="3" t="s">
        <v>23</v>
      </c>
      <c r="Q6" s="3" t="s">
        <v>24</v>
      </c>
    </row>
    <row r="7" spans="1:17" ht="24.95" customHeight="1">
      <c r="A7" s="3" t="s">
        <v>18</v>
      </c>
      <c r="B7" s="3" t="s">
        <v>19</v>
      </c>
      <c r="C7" s="3" t="s">
        <v>29</v>
      </c>
      <c r="D7" s="5" t="s">
        <v>30</v>
      </c>
      <c r="E7" s="6">
        <v>41.59</v>
      </c>
      <c r="F7" s="6">
        <v>2.16</v>
      </c>
      <c r="G7" s="7">
        <v>3025</v>
      </c>
      <c r="H7" s="7">
        <v>7.48</v>
      </c>
      <c r="I7" s="7">
        <v>3</v>
      </c>
      <c r="J7" s="7">
        <v>75</v>
      </c>
      <c r="K7" s="8">
        <f t="shared" si="0"/>
        <v>37.270000000000003</v>
      </c>
      <c r="L7" s="8">
        <f t="shared" si="1"/>
        <v>1090.9595965218996</v>
      </c>
      <c r="M7" s="35">
        <v>37.270000000000003</v>
      </c>
      <c r="N7" s="36">
        <f t="shared" si="2"/>
        <v>1090.9595965218996</v>
      </c>
      <c r="O7" s="3" t="s">
        <v>22</v>
      </c>
      <c r="P7" s="3" t="s">
        <v>23</v>
      </c>
      <c r="Q7" s="3" t="s">
        <v>24</v>
      </c>
    </row>
    <row r="8" spans="1:17" ht="24.95" customHeight="1">
      <c r="A8" s="3" t="s">
        <v>18</v>
      </c>
      <c r="B8" s="3" t="s">
        <v>19</v>
      </c>
      <c r="C8" s="3" t="s">
        <v>31</v>
      </c>
      <c r="D8" s="5" t="s">
        <v>32</v>
      </c>
      <c r="E8" s="6">
        <v>47.81</v>
      </c>
      <c r="F8" s="6">
        <v>2.29</v>
      </c>
      <c r="G8" s="7">
        <v>3025</v>
      </c>
      <c r="H8" s="7">
        <v>8.67</v>
      </c>
      <c r="I8" s="7">
        <v>3</v>
      </c>
      <c r="J8" s="7">
        <v>75</v>
      </c>
      <c r="K8" s="8">
        <f t="shared" si="0"/>
        <v>43.230000000000004</v>
      </c>
      <c r="L8" s="8">
        <f t="shared" si="1"/>
        <v>1467.7779273567273</v>
      </c>
      <c r="M8" s="35">
        <v>43.230000000000004</v>
      </c>
      <c r="N8" s="36">
        <f t="shared" si="2"/>
        <v>1467.7779273567273</v>
      </c>
      <c r="O8" s="3" t="s">
        <v>22</v>
      </c>
      <c r="P8" s="3" t="s">
        <v>23</v>
      </c>
      <c r="Q8" s="3" t="s">
        <v>24</v>
      </c>
    </row>
    <row r="9" spans="1:17" ht="24.95" customHeight="1">
      <c r="A9" s="3" t="s">
        <v>18</v>
      </c>
      <c r="B9" s="3" t="s">
        <v>19</v>
      </c>
      <c r="C9" s="3" t="s">
        <v>33</v>
      </c>
      <c r="D9" s="5" t="s">
        <v>34</v>
      </c>
      <c r="E9" s="6">
        <v>59.93</v>
      </c>
      <c r="F9" s="6">
        <v>2.41</v>
      </c>
      <c r="G9" s="7">
        <v>3025</v>
      </c>
      <c r="H9" s="7">
        <v>11.65</v>
      </c>
      <c r="I9" s="7"/>
      <c r="J9" s="7">
        <v>50</v>
      </c>
      <c r="K9" s="8">
        <f t="shared" si="0"/>
        <v>55.11</v>
      </c>
      <c r="L9" s="8">
        <f t="shared" si="1"/>
        <v>2385.3422653721673</v>
      </c>
      <c r="M9" s="35">
        <v>55.11</v>
      </c>
      <c r="N9" s="36">
        <f t="shared" si="2"/>
        <v>2385.3422653721673</v>
      </c>
      <c r="O9" s="3" t="s">
        <v>22</v>
      </c>
      <c r="P9" s="3" t="s">
        <v>23</v>
      </c>
      <c r="Q9" s="3" t="s">
        <v>24</v>
      </c>
    </row>
    <row r="10" spans="1:17" ht="24.95" customHeight="1">
      <c r="A10" s="3" t="s">
        <v>18</v>
      </c>
      <c r="B10" s="3" t="s">
        <v>19</v>
      </c>
      <c r="C10" s="3" t="s">
        <v>35</v>
      </c>
      <c r="D10" s="5" t="s">
        <v>36</v>
      </c>
      <c r="E10" s="6">
        <v>72.56</v>
      </c>
      <c r="F10" s="6">
        <v>3.56</v>
      </c>
      <c r="G10" s="7">
        <v>3010</v>
      </c>
      <c r="H10" s="7">
        <v>18.71</v>
      </c>
      <c r="I10" s="7"/>
      <c r="J10" s="7">
        <v>40</v>
      </c>
      <c r="K10" s="8">
        <f t="shared" si="0"/>
        <v>65.44</v>
      </c>
      <c r="L10" s="8">
        <f t="shared" si="1"/>
        <v>3363.3840683849862</v>
      </c>
      <c r="M10" s="35">
        <v>65.44</v>
      </c>
      <c r="N10" s="36">
        <f t="shared" si="2"/>
        <v>3363.3840683849862</v>
      </c>
      <c r="O10" s="3" t="s">
        <v>22</v>
      </c>
      <c r="P10" s="3" t="s">
        <v>23</v>
      </c>
      <c r="Q10" s="3" t="s">
        <v>24</v>
      </c>
    </row>
    <row r="11" spans="1:17" ht="24.95" customHeight="1">
      <c r="A11" s="3" t="s">
        <v>18</v>
      </c>
      <c r="B11" s="3" t="s">
        <v>19</v>
      </c>
      <c r="C11" s="3" t="s">
        <v>37</v>
      </c>
      <c r="D11" s="5" t="s">
        <v>38</v>
      </c>
      <c r="E11" s="6">
        <v>88.29</v>
      </c>
      <c r="F11" s="6">
        <v>3.56</v>
      </c>
      <c r="G11" s="7">
        <v>3010</v>
      </c>
      <c r="H11" s="7">
        <v>22.87</v>
      </c>
      <c r="I11" s="7"/>
      <c r="J11" s="7">
        <v>30</v>
      </c>
      <c r="K11" s="8">
        <f t="shared" si="0"/>
        <v>81.17</v>
      </c>
      <c r="L11" s="8">
        <f t="shared" si="1"/>
        <v>5174.6499134775459</v>
      </c>
      <c r="M11" s="35">
        <v>81.17</v>
      </c>
      <c r="N11" s="36">
        <f t="shared" si="2"/>
        <v>5174.6499134775459</v>
      </c>
      <c r="O11" s="3" t="s">
        <v>22</v>
      </c>
      <c r="P11" s="3" t="s">
        <v>23</v>
      </c>
      <c r="Q11" s="3" t="s">
        <v>24</v>
      </c>
    </row>
    <row r="12" spans="1:17" ht="24.95" customHeight="1">
      <c r="A12" s="3" t="s">
        <v>18</v>
      </c>
      <c r="B12" s="3" t="s">
        <v>19</v>
      </c>
      <c r="C12" s="3" t="s">
        <v>39</v>
      </c>
      <c r="D12" s="5" t="s">
        <v>40</v>
      </c>
      <c r="E12" s="6">
        <v>100.86</v>
      </c>
      <c r="F12" s="6">
        <v>3.56</v>
      </c>
      <c r="G12" s="7">
        <v>3005</v>
      </c>
      <c r="H12" s="7">
        <v>26.43</v>
      </c>
      <c r="I12" s="7"/>
      <c r="J12" s="7">
        <v>20</v>
      </c>
      <c r="K12" s="8">
        <f t="shared" si="0"/>
        <v>93.74</v>
      </c>
      <c r="L12" s="8">
        <f t="shared" si="1"/>
        <v>6901.4410024688304</v>
      </c>
      <c r="M12" s="35">
        <v>93.74</v>
      </c>
      <c r="N12" s="36">
        <f t="shared" si="2"/>
        <v>6901.4410024688304</v>
      </c>
      <c r="O12" s="3" t="s">
        <v>22</v>
      </c>
      <c r="P12" s="3" t="s">
        <v>23</v>
      </c>
      <c r="Q12" s="3" t="s">
        <v>24</v>
      </c>
    </row>
    <row r="13" spans="1:17" ht="24.95" customHeight="1">
      <c r="A13" s="3" t="s">
        <v>18</v>
      </c>
      <c r="B13" s="3" t="s">
        <v>19</v>
      </c>
      <c r="C13" s="3" t="s">
        <v>41</v>
      </c>
      <c r="D13" s="5" t="s">
        <v>42</v>
      </c>
      <c r="E13" s="6">
        <v>113.4</v>
      </c>
      <c r="F13" s="6">
        <v>3.56</v>
      </c>
      <c r="G13" s="7">
        <v>3005</v>
      </c>
      <c r="H13" s="7">
        <v>29.84</v>
      </c>
      <c r="I13" s="7"/>
      <c r="J13" s="7">
        <v>15</v>
      </c>
      <c r="K13" s="8">
        <f t="shared" si="0"/>
        <v>106.28</v>
      </c>
      <c r="L13" s="8">
        <f t="shared" si="1"/>
        <v>8871.4165741290126</v>
      </c>
      <c r="M13" s="35">
        <v>106.28</v>
      </c>
      <c r="N13" s="36">
        <f t="shared" si="2"/>
        <v>8871.4165741290126</v>
      </c>
      <c r="O13" s="3" t="s">
        <v>22</v>
      </c>
      <c r="P13" s="3" t="s">
        <v>23</v>
      </c>
      <c r="Q13" s="3" t="s">
        <v>24</v>
      </c>
    </row>
  </sheetData>
  <mergeCells count="1">
    <mergeCell ref="A1:Q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B0F0"/>
  </sheetPr>
  <dimension ref="A1:AA109"/>
  <sheetViews>
    <sheetView showGridLines="0" tabSelected="1" topLeftCell="A99" zoomScale="70" zoomScaleNormal="70" workbookViewId="0">
      <selection activeCell="P121" sqref="P121"/>
    </sheetView>
  </sheetViews>
  <sheetFormatPr defaultRowHeight="14.25"/>
  <cols>
    <col min="1" max="1" width="15" customWidth="1"/>
    <col min="2" max="2" width="46.5" customWidth="1"/>
    <col min="3" max="3" width="14" hidden="1" customWidth="1"/>
    <col min="4" max="4" width="13" hidden="1" customWidth="1"/>
    <col min="5" max="5" width="12" customWidth="1"/>
    <col min="6" max="6" width="16" customWidth="1"/>
    <col min="7" max="7" width="12" customWidth="1"/>
    <col min="8" max="8" width="15" customWidth="1"/>
    <col min="9" max="9" width="14" customWidth="1"/>
    <col min="10" max="11" width="15" customWidth="1"/>
    <col min="12" max="12" width="13" customWidth="1"/>
    <col min="13" max="13" width="14" customWidth="1"/>
    <col min="14" max="16" width="13" customWidth="1"/>
    <col min="17" max="17" width="27" hidden="1" customWidth="1"/>
    <col min="18" max="27" width="11" customWidth="1"/>
  </cols>
  <sheetData>
    <row r="1" spans="1:27" ht="27.95" customHeight="1">
      <c r="A1" s="58" t="s">
        <v>46</v>
      </c>
      <c r="B1" s="58" t="s">
        <v>46</v>
      </c>
      <c r="C1" s="58" t="s">
        <v>46</v>
      </c>
      <c r="D1" s="58" t="s">
        <v>46</v>
      </c>
      <c r="E1" s="58" t="s">
        <v>46</v>
      </c>
      <c r="F1" s="58" t="s">
        <v>46</v>
      </c>
      <c r="G1" s="58" t="s">
        <v>46</v>
      </c>
      <c r="H1" s="58" t="s">
        <v>46</v>
      </c>
      <c r="I1" s="58" t="s">
        <v>46</v>
      </c>
      <c r="J1" s="58" t="s">
        <v>46</v>
      </c>
      <c r="K1" s="58" t="s">
        <v>46</v>
      </c>
      <c r="L1" s="58" t="s">
        <v>46</v>
      </c>
      <c r="M1" s="58" t="s">
        <v>46</v>
      </c>
      <c r="N1" s="58" t="s">
        <v>46</v>
      </c>
      <c r="O1" s="58" t="s">
        <v>46</v>
      </c>
      <c r="P1" s="58" t="s">
        <v>46</v>
      </c>
    </row>
    <row r="2" spans="1:27" s="19" customFormat="1" ht="15.75">
      <c r="A2" s="59" t="s">
        <v>47</v>
      </c>
      <c r="B2" s="59" t="s">
        <v>48</v>
      </c>
      <c r="C2" s="59" t="s">
        <v>48</v>
      </c>
      <c r="D2" s="59" t="s">
        <v>48</v>
      </c>
      <c r="E2" s="59" t="s">
        <v>48</v>
      </c>
      <c r="F2" s="59" t="s">
        <v>48</v>
      </c>
      <c r="G2" s="59" t="s">
        <v>48</v>
      </c>
      <c r="H2" s="59" t="s">
        <v>48</v>
      </c>
      <c r="I2" s="59" t="s">
        <v>48</v>
      </c>
      <c r="J2" s="59" t="s">
        <v>48</v>
      </c>
      <c r="K2" s="59" t="s">
        <v>48</v>
      </c>
      <c r="L2" s="59" t="s">
        <v>48</v>
      </c>
      <c r="M2" s="59" t="s">
        <v>48</v>
      </c>
      <c r="N2" s="59" t="s">
        <v>48</v>
      </c>
      <c r="O2" s="59" t="s">
        <v>48</v>
      </c>
      <c r="P2" s="59" t="s">
        <v>48</v>
      </c>
    </row>
    <row r="3" spans="1:27" s="19" customFormat="1" ht="15">
      <c r="A3" s="60" t="s">
        <v>49</v>
      </c>
      <c r="B3" s="60" t="s">
        <v>49</v>
      </c>
      <c r="C3" s="60" t="s">
        <v>49</v>
      </c>
      <c r="D3" s="60" t="s">
        <v>49</v>
      </c>
      <c r="E3" s="60" t="s">
        <v>49</v>
      </c>
      <c r="F3" s="60" t="s">
        <v>49</v>
      </c>
      <c r="G3" s="60" t="s">
        <v>49</v>
      </c>
      <c r="H3" s="60" t="s">
        <v>49</v>
      </c>
      <c r="I3" s="60" t="s">
        <v>49</v>
      </c>
      <c r="J3" s="60" t="s">
        <v>49</v>
      </c>
      <c r="K3" s="60" t="s">
        <v>49</v>
      </c>
      <c r="L3" s="60" t="s">
        <v>49</v>
      </c>
      <c r="M3" s="60" t="s">
        <v>49</v>
      </c>
      <c r="N3" s="60" t="s">
        <v>49</v>
      </c>
      <c r="O3" s="60" t="s">
        <v>49</v>
      </c>
      <c r="P3" s="60" t="s">
        <v>49</v>
      </c>
    </row>
    <row r="4" spans="1:27" s="19" customFormat="1" ht="17.25" customHeight="1">
      <c r="A4" s="56" t="s">
        <v>50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</row>
    <row r="5" spans="1:27" ht="18">
      <c r="A5" s="61" t="s">
        <v>51</v>
      </c>
      <c r="B5" s="61" t="s">
        <v>51</v>
      </c>
      <c r="C5" s="61" t="s">
        <v>51</v>
      </c>
      <c r="D5" s="61" t="s">
        <v>51</v>
      </c>
      <c r="E5" s="61" t="s">
        <v>51</v>
      </c>
      <c r="F5" s="61" t="s">
        <v>51</v>
      </c>
      <c r="G5" s="12" t="s">
        <v>52</v>
      </c>
      <c r="H5" s="12" t="s">
        <v>53</v>
      </c>
      <c r="I5" s="12" t="s">
        <v>54</v>
      </c>
      <c r="J5" s="12" t="s">
        <v>55</v>
      </c>
      <c r="K5" s="12" t="s">
        <v>56</v>
      </c>
      <c r="L5" s="12" t="s">
        <v>57</v>
      </c>
      <c r="M5" s="12" t="s">
        <v>58</v>
      </c>
      <c r="N5" s="12" t="s">
        <v>59</v>
      </c>
      <c r="O5" s="12" t="s">
        <v>60</v>
      </c>
      <c r="P5" s="12" t="s">
        <v>61</v>
      </c>
      <c r="Q5" s="63" t="s">
        <v>62</v>
      </c>
      <c r="R5" s="63"/>
      <c r="S5" s="63"/>
      <c r="T5" s="63"/>
      <c r="U5" s="63"/>
      <c r="V5" s="63"/>
      <c r="W5" s="63"/>
      <c r="X5" s="63"/>
      <c r="Y5" s="63"/>
      <c r="Z5" s="63"/>
      <c r="AA5" s="63"/>
    </row>
    <row r="6" spans="1:27" ht="18" customHeight="1">
      <c r="A6" s="62" t="s">
        <v>63</v>
      </c>
      <c r="B6" s="62" t="s">
        <v>63</v>
      </c>
      <c r="C6" s="62" t="s">
        <v>63</v>
      </c>
      <c r="D6" s="62" t="s">
        <v>63</v>
      </c>
      <c r="E6" s="62" t="s">
        <v>63</v>
      </c>
      <c r="F6" s="62" t="s">
        <v>63</v>
      </c>
      <c r="G6" s="17">
        <f>'Conduit Data'!M4</f>
        <v>17.119999999999997</v>
      </c>
      <c r="H6" s="17">
        <f>'Conduit Data'!M5</f>
        <v>22.34</v>
      </c>
      <c r="I6" s="17">
        <f>'Conduit Data'!M6</f>
        <v>28.450000000000003</v>
      </c>
      <c r="J6" s="17">
        <f>'Conduit Data'!M7</f>
        <v>37.270000000000003</v>
      </c>
      <c r="K6" s="17">
        <f>'Conduit Data'!M8</f>
        <v>43.230000000000004</v>
      </c>
      <c r="L6" s="17">
        <f>'Conduit Data'!M9</f>
        <v>55.11</v>
      </c>
      <c r="M6" s="17">
        <f>'Conduit Data'!M10</f>
        <v>65.44</v>
      </c>
      <c r="N6" s="17">
        <f>'Conduit Data'!M11</f>
        <v>81.17</v>
      </c>
      <c r="O6" s="17">
        <f>'Conduit Data'!M12</f>
        <v>93.74</v>
      </c>
      <c r="P6" s="17">
        <f>'Conduit Data'!M13</f>
        <v>106.28</v>
      </c>
      <c r="Q6" s="4"/>
      <c r="R6" s="18" t="s">
        <v>64</v>
      </c>
      <c r="S6" s="4"/>
      <c r="T6" s="4"/>
      <c r="U6" s="4"/>
      <c r="V6" s="4"/>
      <c r="W6" s="4"/>
      <c r="X6" s="4"/>
      <c r="Y6" s="4"/>
      <c r="Z6" s="4"/>
      <c r="AA6" s="4"/>
    </row>
    <row r="7" spans="1:27" ht="18">
      <c r="A7" s="62" t="s">
        <v>65</v>
      </c>
      <c r="B7" s="62" t="s">
        <v>65</v>
      </c>
      <c r="C7" s="62" t="s">
        <v>65</v>
      </c>
      <c r="D7" s="62" t="s">
        <v>65</v>
      </c>
      <c r="E7" s="62" t="s">
        <v>65</v>
      </c>
      <c r="F7" s="62" t="s">
        <v>65</v>
      </c>
      <c r="G7" s="17">
        <f t="shared" ref="G7:P7" si="0">PI()*G6^2/4</f>
        <v>230.19580346207698</v>
      </c>
      <c r="H7" s="17">
        <f t="shared" si="0"/>
        <v>391.97305963647955</v>
      </c>
      <c r="I7" s="17">
        <f t="shared" si="0"/>
        <v>635.70323694930323</v>
      </c>
      <c r="J7" s="17">
        <f t="shared" si="0"/>
        <v>1090.9595965218996</v>
      </c>
      <c r="K7" s="17">
        <f t="shared" si="0"/>
        <v>1467.7779273567273</v>
      </c>
      <c r="L7" s="17">
        <f t="shared" si="0"/>
        <v>2385.3422653721673</v>
      </c>
      <c r="M7" s="17">
        <f t="shared" si="0"/>
        <v>3363.3840683849862</v>
      </c>
      <c r="N7" s="17">
        <f t="shared" si="0"/>
        <v>5174.6499134775459</v>
      </c>
      <c r="O7" s="17">
        <f t="shared" si="0"/>
        <v>6901.4410024688304</v>
      </c>
      <c r="P7" s="17">
        <f t="shared" si="0"/>
        <v>8871.4165741290126</v>
      </c>
    </row>
    <row r="9" spans="1:27" ht="54">
      <c r="A9" s="12" t="s">
        <v>66</v>
      </c>
      <c r="B9" s="12" t="s">
        <v>67</v>
      </c>
      <c r="C9" s="12" t="s">
        <v>68</v>
      </c>
      <c r="D9" s="12" t="s">
        <v>69</v>
      </c>
      <c r="E9" s="12" t="s">
        <v>70</v>
      </c>
      <c r="F9" s="12" t="s">
        <v>71</v>
      </c>
      <c r="G9" s="12" t="s">
        <v>52</v>
      </c>
      <c r="H9" s="12" t="s">
        <v>53</v>
      </c>
      <c r="I9" s="12" t="s">
        <v>54</v>
      </c>
      <c r="J9" s="12" t="s">
        <v>55</v>
      </c>
      <c r="K9" s="12" t="s">
        <v>56</v>
      </c>
      <c r="L9" s="12" t="s">
        <v>57</v>
      </c>
      <c r="M9" s="12" t="s">
        <v>58</v>
      </c>
      <c r="N9" s="12" t="s">
        <v>59</v>
      </c>
      <c r="O9" s="12" t="s">
        <v>60</v>
      </c>
      <c r="P9" s="12" t="s">
        <v>61</v>
      </c>
      <c r="Q9" s="28" t="s">
        <v>72</v>
      </c>
      <c r="R9" s="28" t="s">
        <v>52</v>
      </c>
      <c r="S9" s="28" t="s">
        <v>53</v>
      </c>
      <c r="T9" s="28" t="s">
        <v>54</v>
      </c>
      <c r="U9" s="28" t="s">
        <v>55</v>
      </c>
      <c r="V9" s="28" t="s">
        <v>56</v>
      </c>
      <c r="W9" s="28" t="s">
        <v>57</v>
      </c>
      <c r="X9" s="28" t="s">
        <v>58</v>
      </c>
      <c r="Y9" s="28" t="s">
        <v>59</v>
      </c>
      <c r="Z9" s="28" t="s">
        <v>60</v>
      </c>
      <c r="AA9" s="28" t="s">
        <v>61</v>
      </c>
    </row>
    <row r="10" spans="1:27" ht="36">
      <c r="A10" s="13" t="s">
        <v>73</v>
      </c>
      <c r="B10" s="13" t="s">
        <v>44</v>
      </c>
      <c r="C10" s="13">
        <v>1</v>
      </c>
      <c r="D10" s="14">
        <v>4</v>
      </c>
      <c r="E10" s="15" t="e">
        <f>#REF!</f>
        <v>#REF!</v>
      </c>
      <c r="F10" s="16" t="e">
        <f t="shared" ref="F10:F41" si="1">PI()*E10^2/4</f>
        <v>#REF!</v>
      </c>
      <c r="G10" s="42" t="e">
        <f t="shared" ref="G10:P19" si="2">IF(G$7="",0,IF(INT(0.4*G$7/$F10)&gt;=3,INT(0.4*G$7/$F10),IF(INT(0.31*G$7/$F10)&gt;=2,2,IF(0.53*G$7/$F10&gt;=1,1,0))))</f>
        <v>#REF!</v>
      </c>
      <c r="H10" s="42" t="e">
        <f t="shared" si="2"/>
        <v>#REF!</v>
      </c>
      <c r="I10" s="42" t="e">
        <f t="shared" si="2"/>
        <v>#REF!</v>
      </c>
      <c r="J10" s="42" t="e">
        <f t="shared" si="2"/>
        <v>#REF!</v>
      </c>
      <c r="K10" s="42" t="e">
        <f t="shared" si="2"/>
        <v>#REF!</v>
      </c>
      <c r="L10" s="42" t="e">
        <f t="shared" si="2"/>
        <v>#REF!</v>
      </c>
      <c r="M10" s="42" t="e">
        <f t="shared" si="2"/>
        <v>#REF!</v>
      </c>
      <c r="N10" s="42" t="e">
        <f t="shared" si="2"/>
        <v>#REF!</v>
      </c>
      <c r="O10" s="42" t="e">
        <f t="shared" si="2"/>
        <v>#REF!</v>
      </c>
      <c r="P10" s="42" t="e">
        <f t="shared" si="2"/>
        <v>#REF!</v>
      </c>
      <c r="Q10" s="29" t="str">
        <f>B10</f>
        <v>Phelps Dodge H1Z2Z2-K 4 mm²</v>
      </c>
      <c r="R10" s="30" t="str">
        <f>IFERROR($G10*$F10/G$7,"")</f>
        <v/>
      </c>
      <c r="S10" s="30" t="str">
        <f>IFERROR($H10*$F10/H$7,"")</f>
        <v/>
      </c>
      <c r="T10" s="30" t="str">
        <f>IFERROR($I10*$F10/I$7,"")</f>
        <v/>
      </c>
      <c r="U10" s="30" t="str">
        <f>IFERROR($J10*$F10/J$7,"")</f>
        <v/>
      </c>
      <c r="V10" s="30" t="str">
        <f>IFERROR($K10*$F10/K$7,"")</f>
        <v/>
      </c>
      <c r="W10" s="30" t="str">
        <f>IFERROR($L10*$F10/L$7,"")</f>
        <v/>
      </c>
      <c r="X10" s="30" t="str">
        <f>IFERROR($M10*$F10/M$7,"")</f>
        <v/>
      </c>
      <c r="Y10" s="30" t="str">
        <f>IFERROR($N10*$F10/N$7,"")</f>
        <v/>
      </c>
      <c r="Z10" s="30" t="str">
        <f>IFERROR($O10*$F10/O$7,"")</f>
        <v/>
      </c>
      <c r="AA10" s="30" t="str">
        <f>IFERROR($P10*$F10/P$7,"")</f>
        <v/>
      </c>
    </row>
    <row r="11" spans="1:27" ht="36">
      <c r="A11" s="13" t="s">
        <v>73</v>
      </c>
      <c r="B11" s="13" t="s">
        <v>45</v>
      </c>
      <c r="C11" s="13">
        <v>1</v>
      </c>
      <c r="D11" s="14">
        <v>6</v>
      </c>
      <c r="E11" s="15" t="e">
        <f>#REF!</f>
        <v>#REF!</v>
      </c>
      <c r="F11" s="16" t="e">
        <f t="shared" si="1"/>
        <v>#REF!</v>
      </c>
      <c r="G11" s="42" t="e">
        <f t="shared" si="2"/>
        <v>#REF!</v>
      </c>
      <c r="H11" s="42" t="e">
        <f t="shared" si="2"/>
        <v>#REF!</v>
      </c>
      <c r="I11" s="42" t="e">
        <f t="shared" si="2"/>
        <v>#REF!</v>
      </c>
      <c r="J11" s="42" t="e">
        <f t="shared" si="2"/>
        <v>#REF!</v>
      </c>
      <c r="K11" s="42" t="e">
        <f t="shared" si="2"/>
        <v>#REF!</v>
      </c>
      <c r="L11" s="42" t="e">
        <f t="shared" si="2"/>
        <v>#REF!</v>
      </c>
      <c r="M11" s="42" t="e">
        <f t="shared" si="2"/>
        <v>#REF!</v>
      </c>
      <c r="N11" s="42" t="e">
        <f t="shared" si="2"/>
        <v>#REF!</v>
      </c>
      <c r="O11" s="42" t="e">
        <f t="shared" si="2"/>
        <v>#REF!</v>
      </c>
      <c r="P11" s="42" t="e">
        <f t="shared" si="2"/>
        <v>#REF!</v>
      </c>
      <c r="Q11" s="29" t="str">
        <f>B11</f>
        <v>Phelps Dodge H1Z2Z2-K 6 mm²</v>
      </c>
      <c r="R11" s="30" t="str">
        <f>IFERROR($G11*$F11/G$7,"")</f>
        <v/>
      </c>
      <c r="S11" s="30" t="str">
        <f>IFERROR($H11*$F11/H$7,"")</f>
        <v/>
      </c>
      <c r="T11" s="30" t="str">
        <f>IFERROR($I11*$F11/I$7,"")</f>
        <v/>
      </c>
      <c r="U11" s="30" t="str">
        <f>IFERROR($J11*$F11/J$7,"")</f>
        <v/>
      </c>
      <c r="V11" s="30" t="str">
        <f>IFERROR($K11*$F11/K$7,"")</f>
        <v/>
      </c>
      <c r="W11" s="30" t="str">
        <f>IFERROR($L11*$F11/L$7,"")</f>
        <v/>
      </c>
      <c r="X11" s="30" t="str">
        <f>IFERROR($M11*$F11/M$7,"")</f>
        <v/>
      </c>
      <c r="Y11" s="30" t="str">
        <f>IFERROR($N11*$F11/N$7,"")</f>
        <v/>
      </c>
      <c r="Z11" s="30" t="str">
        <f>IFERROR($O11*$F11/O$7,"")</f>
        <v/>
      </c>
      <c r="AA11" s="30" t="str">
        <f>IFERROR($P11*$F11/P$7,"")</f>
        <v/>
      </c>
    </row>
    <row r="12" spans="1:27" ht="36">
      <c r="A12" s="13" t="s">
        <v>73</v>
      </c>
      <c r="B12" s="13" t="s">
        <v>74</v>
      </c>
      <c r="C12" s="13">
        <v>1</v>
      </c>
      <c r="D12" s="14">
        <v>10</v>
      </c>
      <c r="E12" s="15" t="e">
        <f>#REF!</f>
        <v>#REF!</v>
      </c>
      <c r="F12" s="16" t="e">
        <f t="shared" si="1"/>
        <v>#REF!</v>
      </c>
      <c r="G12" s="42" t="e">
        <f t="shared" si="2"/>
        <v>#REF!</v>
      </c>
      <c r="H12" s="42" t="e">
        <f t="shared" si="2"/>
        <v>#REF!</v>
      </c>
      <c r="I12" s="42" t="e">
        <f t="shared" si="2"/>
        <v>#REF!</v>
      </c>
      <c r="J12" s="42" t="e">
        <f t="shared" si="2"/>
        <v>#REF!</v>
      </c>
      <c r="K12" s="42" t="e">
        <f t="shared" si="2"/>
        <v>#REF!</v>
      </c>
      <c r="L12" s="42" t="e">
        <f t="shared" si="2"/>
        <v>#REF!</v>
      </c>
      <c r="M12" s="42" t="e">
        <f t="shared" si="2"/>
        <v>#REF!</v>
      </c>
      <c r="N12" s="42" t="e">
        <f t="shared" si="2"/>
        <v>#REF!</v>
      </c>
      <c r="O12" s="42" t="e">
        <f t="shared" si="2"/>
        <v>#REF!</v>
      </c>
      <c r="P12" s="42" t="e">
        <f t="shared" si="2"/>
        <v>#REF!</v>
      </c>
      <c r="Q12" s="29" t="str">
        <f>B12</f>
        <v>Phelps Dodge H1Z2Z2-K 10 mm²</v>
      </c>
      <c r="R12" s="30" t="str">
        <f>IFERROR($G12*$F12/G$7,"")</f>
        <v/>
      </c>
      <c r="S12" s="30" t="str">
        <f>IFERROR($H12*$F12/H$7,"")</f>
        <v/>
      </c>
      <c r="T12" s="30" t="str">
        <f>IFERROR($I12*$F12/I$7,"")</f>
        <v/>
      </c>
      <c r="U12" s="30" t="str">
        <f>IFERROR($J12*$F12/J$7,"")</f>
        <v/>
      </c>
      <c r="V12" s="30" t="str">
        <f>IFERROR($K12*$F12/K$7,"")</f>
        <v/>
      </c>
      <c r="W12" s="30" t="str">
        <f>IFERROR($L12*$F12/L$7,"")</f>
        <v/>
      </c>
      <c r="X12" s="30" t="str">
        <f>IFERROR($M12*$F12/M$7,"")</f>
        <v/>
      </c>
      <c r="Y12" s="30" t="str">
        <f>IFERROR($N12*$F12/N$7,"")</f>
        <v/>
      </c>
      <c r="Z12" s="30" t="str">
        <f>IFERROR($O12*$F12/O$7,"")</f>
        <v/>
      </c>
      <c r="AA12" s="30" t="str">
        <f>IFERROR($P12*$F12/P$7,"")</f>
        <v/>
      </c>
    </row>
    <row r="13" spans="1:27" ht="36">
      <c r="A13" s="13" t="s">
        <v>73</v>
      </c>
      <c r="B13" s="13" t="s">
        <v>75</v>
      </c>
      <c r="C13" s="13">
        <v>1</v>
      </c>
      <c r="D13" s="14">
        <v>16</v>
      </c>
      <c r="E13" s="15" t="e">
        <f>#REF!</f>
        <v>#REF!</v>
      </c>
      <c r="F13" s="16" t="e">
        <f t="shared" si="1"/>
        <v>#REF!</v>
      </c>
      <c r="G13" s="42" t="e">
        <f t="shared" si="2"/>
        <v>#REF!</v>
      </c>
      <c r="H13" s="42" t="e">
        <f t="shared" si="2"/>
        <v>#REF!</v>
      </c>
      <c r="I13" s="42" t="e">
        <f t="shared" si="2"/>
        <v>#REF!</v>
      </c>
      <c r="J13" s="42" t="e">
        <f t="shared" si="2"/>
        <v>#REF!</v>
      </c>
      <c r="K13" s="42" t="e">
        <f t="shared" si="2"/>
        <v>#REF!</v>
      </c>
      <c r="L13" s="42" t="e">
        <f t="shared" si="2"/>
        <v>#REF!</v>
      </c>
      <c r="M13" s="42" t="e">
        <f t="shared" si="2"/>
        <v>#REF!</v>
      </c>
      <c r="N13" s="42" t="e">
        <f t="shared" si="2"/>
        <v>#REF!</v>
      </c>
      <c r="O13" s="42" t="e">
        <f t="shared" si="2"/>
        <v>#REF!</v>
      </c>
      <c r="P13" s="42" t="e">
        <f t="shared" si="2"/>
        <v>#REF!</v>
      </c>
      <c r="Q13" s="29" t="str">
        <f>B13</f>
        <v>Phelps Dodge H1Z2Z2-K 16 mm²</v>
      </c>
      <c r="R13" s="30" t="str">
        <f>IFERROR($G13*$F13/G$7,"")</f>
        <v/>
      </c>
      <c r="S13" s="30" t="str">
        <f>IFERROR($H13*$F13/H$7,"")</f>
        <v/>
      </c>
      <c r="T13" s="30" t="str">
        <f>IFERROR($I13*$F13/I$7,"")</f>
        <v/>
      </c>
      <c r="U13" s="30" t="str">
        <f>IFERROR($J13*$F13/J$7,"")</f>
        <v/>
      </c>
      <c r="V13" s="30" t="str">
        <f>IFERROR($K13*$F13/K$7,"")</f>
        <v/>
      </c>
      <c r="W13" s="30" t="str">
        <f>IFERROR($L13*$F13/L$7,"")</f>
        <v/>
      </c>
      <c r="X13" s="30" t="str">
        <f>IFERROR($M13*$F13/M$7,"")</f>
        <v/>
      </c>
      <c r="Y13" s="30" t="str">
        <f>IFERROR($N13*$F13/N$7,"")</f>
        <v/>
      </c>
      <c r="Z13" s="30" t="str">
        <f>IFERROR($O13*$F13/O$7,"")</f>
        <v/>
      </c>
      <c r="AA13" s="30" t="str">
        <f>IFERROR($P13*$F13/P$7,"")</f>
        <v/>
      </c>
    </row>
    <row r="14" spans="1:27" ht="20.25">
      <c r="A14" s="13" t="s">
        <v>76</v>
      </c>
      <c r="B14" s="13" t="s">
        <v>77</v>
      </c>
      <c r="C14" s="13">
        <v>1</v>
      </c>
      <c r="D14" s="14">
        <v>25</v>
      </c>
      <c r="E14" s="16">
        <v>12</v>
      </c>
      <c r="F14" s="16">
        <f t="shared" si="1"/>
        <v>113.09733552923255</v>
      </c>
      <c r="G14" s="43">
        <f t="shared" si="2"/>
        <v>1</v>
      </c>
      <c r="H14" s="43">
        <f t="shared" si="2"/>
        <v>1</v>
      </c>
      <c r="I14" s="43">
        <f t="shared" si="2"/>
        <v>1</v>
      </c>
      <c r="J14" s="43">
        <f t="shared" si="2"/>
        <v>3</v>
      </c>
      <c r="K14" s="43">
        <f t="shared" si="2"/>
        <v>5</v>
      </c>
      <c r="L14" s="43">
        <f t="shared" si="2"/>
        <v>8</v>
      </c>
      <c r="M14" s="43">
        <f t="shared" si="2"/>
        <v>11</v>
      </c>
      <c r="N14" s="43">
        <f t="shared" si="2"/>
        <v>18</v>
      </c>
      <c r="O14" s="43">
        <f t="shared" si="2"/>
        <v>24</v>
      </c>
      <c r="P14" s="43">
        <f t="shared" si="2"/>
        <v>31</v>
      </c>
      <c r="Q14" s="31"/>
      <c r="R14" s="30">
        <f t="shared" ref="R14:R65" si="3">IFERROR($G14*$F14/G$7,"")</f>
        <v>0.49130928465368173</v>
      </c>
      <c r="S14" s="30">
        <f t="shared" ref="S14:S65" si="4">IFERROR($H14*$F14/H$7,"")</f>
        <v>0.28853344062502756</v>
      </c>
      <c r="T14" s="30">
        <f t="shared" ref="T14:T65" si="5">IFERROR($I14*$F14/I$7,"")</f>
        <v>0.17790901313005578</v>
      </c>
      <c r="U14" s="30">
        <f t="shared" ref="U14:U65" si="6">IFERROR($J14*$F14/J$7,"")</f>
        <v>0.31100327424535085</v>
      </c>
      <c r="V14" s="30">
        <f t="shared" ref="V14:V65" si="7">IFERROR($K14*$F14/K$7,"")</f>
        <v>0.38526719002003867</v>
      </c>
      <c r="W14" s="30">
        <f t="shared" ref="W14:W65" si="8">IFERROR($L14*$F14/L$7,"")</f>
        <v>0.37930769825717003</v>
      </c>
      <c r="X14" s="30">
        <f t="shared" ref="X14:X65" si="9">IFERROR($M14*$F14/M$7,"")</f>
        <v>0.36988659799977291</v>
      </c>
      <c r="Y14" s="30">
        <f t="shared" ref="Y14:Y65" si="10">IFERROR($N14*$F14/N$7,"")</f>
        <v>0.39340865054928698</v>
      </c>
      <c r="Z14" s="30">
        <f t="shared" ref="Z14:Z65" si="11">IFERROR($O14*$F14/O$7,"")</f>
        <v>0.39329989950368199</v>
      </c>
      <c r="AA14" s="30">
        <f t="shared" ref="AA14:AA65" si="12">IFERROR($P14*$F14/P$7,"")</f>
        <v>0.39520378421080138</v>
      </c>
    </row>
    <row r="15" spans="1:27" ht="20.25">
      <c r="A15" s="13" t="s">
        <v>76</v>
      </c>
      <c r="B15" s="13" t="s">
        <v>78</v>
      </c>
      <c r="C15" s="13">
        <v>1</v>
      </c>
      <c r="D15" s="14">
        <v>35</v>
      </c>
      <c r="E15" s="16">
        <v>13</v>
      </c>
      <c r="F15" s="16">
        <f t="shared" si="1"/>
        <v>132.73228961416876</v>
      </c>
      <c r="G15" s="43">
        <f t="shared" si="2"/>
        <v>0</v>
      </c>
      <c r="H15" s="43">
        <f t="shared" si="2"/>
        <v>1</v>
      </c>
      <c r="I15" s="43">
        <f t="shared" si="2"/>
        <v>1</v>
      </c>
      <c r="J15" s="43">
        <f t="shared" si="2"/>
        <v>3</v>
      </c>
      <c r="K15" s="43">
        <f t="shared" si="2"/>
        <v>4</v>
      </c>
      <c r="L15" s="43">
        <f t="shared" si="2"/>
        <v>7</v>
      </c>
      <c r="M15" s="43">
        <f t="shared" si="2"/>
        <v>10</v>
      </c>
      <c r="N15" s="43">
        <f t="shared" si="2"/>
        <v>15</v>
      </c>
      <c r="O15" s="43">
        <f t="shared" si="2"/>
        <v>20</v>
      </c>
      <c r="P15" s="43">
        <f t="shared" si="2"/>
        <v>26</v>
      </c>
      <c r="Q15" s="31"/>
      <c r="R15" s="30">
        <f t="shared" si="3"/>
        <v>0</v>
      </c>
      <c r="S15" s="30">
        <f t="shared" si="4"/>
        <v>0.33862605184465039</v>
      </c>
      <c r="T15" s="30">
        <f t="shared" si="5"/>
        <v>0.20879599457624604</v>
      </c>
      <c r="U15" s="30">
        <f t="shared" si="6"/>
        <v>0.36499689824627984</v>
      </c>
      <c r="V15" s="30">
        <f t="shared" si="7"/>
        <v>0.36172308396325853</v>
      </c>
      <c r="W15" s="30">
        <f t="shared" si="8"/>
        <v>0.389514763054021</v>
      </c>
      <c r="X15" s="30">
        <f t="shared" si="9"/>
        <v>0.3946391102396567</v>
      </c>
      <c r="Y15" s="30">
        <f t="shared" si="10"/>
        <v>0.38475730290989291</v>
      </c>
      <c r="Z15" s="30">
        <f t="shared" si="11"/>
        <v>0.38465094338033712</v>
      </c>
      <c r="AA15" s="30">
        <f t="shared" si="12"/>
        <v>0.38900659225409079</v>
      </c>
    </row>
    <row r="16" spans="1:27" ht="20.25">
      <c r="A16" s="13" t="s">
        <v>76</v>
      </c>
      <c r="B16" s="13" t="s">
        <v>79</v>
      </c>
      <c r="C16" s="13">
        <v>1</v>
      </c>
      <c r="D16" s="14">
        <v>50</v>
      </c>
      <c r="E16" s="16">
        <v>15</v>
      </c>
      <c r="F16" s="16">
        <f t="shared" si="1"/>
        <v>176.71458676442586</v>
      </c>
      <c r="G16" s="43">
        <f t="shared" si="2"/>
        <v>0</v>
      </c>
      <c r="H16" s="43">
        <f t="shared" si="2"/>
        <v>1</v>
      </c>
      <c r="I16" s="43">
        <f t="shared" si="2"/>
        <v>1</v>
      </c>
      <c r="J16" s="43">
        <f t="shared" si="2"/>
        <v>1</v>
      </c>
      <c r="K16" s="43">
        <f t="shared" si="2"/>
        <v>3</v>
      </c>
      <c r="L16" s="43">
        <f t="shared" si="2"/>
        <v>5</v>
      </c>
      <c r="M16" s="43">
        <f t="shared" si="2"/>
        <v>7</v>
      </c>
      <c r="N16" s="43">
        <f t="shared" si="2"/>
        <v>11</v>
      </c>
      <c r="O16" s="43">
        <f t="shared" si="2"/>
        <v>15</v>
      </c>
      <c r="P16" s="43">
        <f t="shared" si="2"/>
        <v>20</v>
      </c>
      <c r="Q16" s="31"/>
      <c r="R16" s="30">
        <f t="shared" si="3"/>
        <v>0</v>
      </c>
      <c r="S16" s="30">
        <f t="shared" si="4"/>
        <v>0.45083350097660552</v>
      </c>
      <c r="T16" s="30">
        <f t="shared" si="5"/>
        <v>0.27798283301571214</v>
      </c>
      <c r="U16" s="30">
        <f t="shared" si="6"/>
        <v>0.16198087200278691</v>
      </c>
      <c r="V16" s="30">
        <f t="shared" si="7"/>
        <v>0.36118799064378626</v>
      </c>
      <c r="W16" s="30">
        <f t="shared" si="8"/>
        <v>0.37041767407926757</v>
      </c>
      <c r="X16" s="30">
        <f t="shared" si="9"/>
        <v>0.36778496960204693</v>
      </c>
      <c r="Y16" s="30">
        <f t="shared" si="10"/>
        <v>0.37565062118421499</v>
      </c>
      <c r="Z16" s="30">
        <f t="shared" si="11"/>
        <v>0.38408193310906447</v>
      </c>
      <c r="AA16" s="30">
        <f t="shared" si="12"/>
        <v>0.39839091150282396</v>
      </c>
    </row>
    <row r="17" spans="1:27" ht="20.25">
      <c r="A17" s="13" t="s">
        <v>76</v>
      </c>
      <c r="B17" s="13" t="s">
        <v>80</v>
      </c>
      <c r="C17" s="13">
        <v>1</v>
      </c>
      <c r="D17" s="14">
        <v>70</v>
      </c>
      <c r="E17" s="16">
        <v>16</v>
      </c>
      <c r="F17" s="16">
        <f t="shared" si="1"/>
        <v>201.06192982974676</v>
      </c>
      <c r="G17" s="43">
        <f t="shared" si="2"/>
        <v>0</v>
      </c>
      <c r="H17" s="43">
        <f t="shared" si="2"/>
        <v>1</v>
      </c>
      <c r="I17" s="43">
        <f t="shared" si="2"/>
        <v>1</v>
      </c>
      <c r="J17" s="43">
        <f t="shared" si="2"/>
        <v>1</v>
      </c>
      <c r="K17" s="43">
        <f t="shared" si="2"/>
        <v>2</v>
      </c>
      <c r="L17" s="43">
        <f t="shared" si="2"/>
        <v>4</v>
      </c>
      <c r="M17" s="43">
        <f t="shared" si="2"/>
        <v>6</v>
      </c>
      <c r="N17" s="43">
        <f t="shared" si="2"/>
        <v>10</v>
      </c>
      <c r="O17" s="43">
        <f t="shared" si="2"/>
        <v>13</v>
      </c>
      <c r="P17" s="43">
        <f t="shared" si="2"/>
        <v>17</v>
      </c>
      <c r="Q17" s="31"/>
      <c r="R17" s="30">
        <f t="shared" si="3"/>
        <v>0</v>
      </c>
      <c r="S17" s="30">
        <f t="shared" si="4"/>
        <v>0.51294833888893787</v>
      </c>
      <c r="T17" s="30">
        <f t="shared" si="5"/>
        <v>0.31628269000898807</v>
      </c>
      <c r="U17" s="30">
        <f t="shared" si="6"/>
        <v>0.18429823658983754</v>
      </c>
      <c r="V17" s="30">
        <f t="shared" si="7"/>
        <v>0.27396777956980528</v>
      </c>
      <c r="W17" s="30">
        <f t="shared" si="8"/>
        <v>0.3371623984508178</v>
      </c>
      <c r="X17" s="30">
        <f t="shared" si="9"/>
        <v>0.35867791321190101</v>
      </c>
      <c r="Y17" s="30">
        <f t="shared" si="10"/>
        <v>0.38855175362892541</v>
      </c>
      <c r="Z17" s="30">
        <f t="shared" si="11"/>
        <v>0.37873323655910118</v>
      </c>
      <c r="AA17" s="30">
        <f t="shared" si="12"/>
        <v>0.38528827708006447</v>
      </c>
    </row>
    <row r="18" spans="1:27" ht="20.25">
      <c r="A18" s="13" t="s">
        <v>76</v>
      </c>
      <c r="B18" s="13" t="s">
        <v>81</v>
      </c>
      <c r="C18" s="13">
        <v>1</v>
      </c>
      <c r="D18" s="14">
        <v>95</v>
      </c>
      <c r="E18" s="16">
        <v>18</v>
      </c>
      <c r="F18" s="16">
        <f t="shared" si="1"/>
        <v>254.46900494077323</v>
      </c>
      <c r="G18" s="43">
        <f t="shared" si="2"/>
        <v>0</v>
      </c>
      <c r="H18" s="43">
        <f t="shared" si="2"/>
        <v>0</v>
      </c>
      <c r="I18" s="43">
        <f t="shared" si="2"/>
        <v>1</v>
      </c>
      <c r="J18" s="43">
        <f t="shared" si="2"/>
        <v>1</v>
      </c>
      <c r="K18" s="43">
        <f t="shared" si="2"/>
        <v>1</v>
      </c>
      <c r="L18" s="43">
        <f t="shared" si="2"/>
        <v>3</v>
      </c>
      <c r="M18" s="43">
        <f t="shared" si="2"/>
        <v>5</v>
      </c>
      <c r="N18" s="43">
        <f t="shared" si="2"/>
        <v>8</v>
      </c>
      <c r="O18" s="43">
        <f t="shared" si="2"/>
        <v>10</v>
      </c>
      <c r="P18" s="43">
        <f t="shared" si="2"/>
        <v>13</v>
      </c>
      <c r="Q18" s="31"/>
      <c r="R18" s="30">
        <f t="shared" si="3"/>
        <v>0</v>
      </c>
      <c r="S18" s="30">
        <f t="shared" si="4"/>
        <v>0</v>
      </c>
      <c r="T18" s="30">
        <f t="shared" si="5"/>
        <v>0.4002952795426255</v>
      </c>
      <c r="U18" s="30">
        <f t="shared" si="6"/>
        <v>0.23325245568401312</v>
      </c>
      <c r="V18" s="30">
        <f t="shared" si="7"/>
        <v>0.1733702355090174</v>
      </c>
      <c r="W18" s="30">
        <f t="shared" si="8"/>
        <v>0.3200408704044872</v>
      </c>
      <c r="X18" s="30">
        <f t="shared" si="9"/>
        <v>0.3782931115906768</v>
      </c>
      <c r="Y18" s="30">
        <f t="shared" si="10"/>
        <v>0.39340865054928698</v>
      </c>
      <c r="Z18" s="30">
        <f t="shared" si="11"/>
        <v>0.36871865578470181</v>
      </c>
      <c r="AA18" s="30">
        <f t="shared" si="12"/>
        <v>0.37289389316664323</v>
      </c>
    </row>
    <row r="19" spans="1:27" ht="20.25">
      <c r="A19" s="13" t="s">
        <v>76</v>
      </c>
      <c r="B19" s="13" t="s">
        <v>82</v>
      </c>
      <c r="C19" s="13">
        <v>1</v>
      </c>
      <c r="D19" s="14">
        <v>120</v>
      </c>
      <c r="E19" s="16">
        <v>20</v>
      </c>
      <c r="F19" s="16">
        <f t="shared" si="1"/>
        <v>314.15926535897933</v>
      </c>
      <c r="G19" s="43">
        <f t="shared" si="2"/>
        <v>0</v>
      </c>
      <c r="H19" s="43">
        <f t="shared" si="2"/>
        <v>0</v>
      </c>
      <c r="I19" s="43">
        <f t="shared" si="2"/>
        <v>1</v>
      </c>
      <c r="J19" s="43">
        <f t="shared" si="2"/>
        <v>1</v>
      </c>
      <c r="K19" s="43">
        <f t="shared" si="2"/>
        <v>1</v>
      </c>
      <c r="L19" s="43">
        <f t="shared" si="2"/>
        <v>3</v>
      </c>
      <c r="M19" s="43">
        <f t="shared" si="2"/>
        <v>4</v>
      </c>
      <c r="N19" s="43">
        <f t="shared" si="2"/>
        <v>6</v>
      </c>
      <c r="O19" s="43">
        <f t="shared" si="2"/>
        <v>8</v>
      </c>
      <c r="P19" s="43">
        <f t="shared" si="2"/>
        <v>11</v>
      </c>
      <c r="Q19" s="31"/>
      <c r="R19" s="30">
        <f t="shared" si="3"/>
        <v>0</v>
      </c>
      <c r="S19" s="30">
        <f t="shared" si="4"/>
        <v>0</v>
      </c>
      <c r="T19" s="30">
        <f t="shared" si="5"/>
        <v>0.49419170313904387</v>
      </c>
      <c r="U19" s="30">
        <f t="shared" si="6"/>
        <v>0.28796599467162115</v>
      </c>
      <c r="V19" s="30">
        <f t="shared" si="7"/>
        <v>0.21403732778891038</v>
      </c>
      <c r="W19" s="30">
        <f t="shared" si="8"/>
        <v>0.39511218568455209</v>
      </c>
      <c r="X19" s="30">
        <f t="shared" si="9"/>
        <v>0.3736228262623969</v>
      </c>
      <c r="Y19" s="30">
        <f t="shared" si="10"/>
        <v>0.36426726902711759</v>
      </c>
      <c r="Z19" s="30">
        <f t="shared" si="11"/>
        <v>0.36416657361452037</v>
      </c>
      <c r="AA19" s="30">
        <f t="shared" si="12"/>
        <v>0.38953778013609458</v>
      </c>
    </row>
    <row r="20" spans="1:27" ht="20.25">
      <c r="A20" s="13" t="s">
        <v>76</v>
      </c>
      <c r="B20" s="13" t="s">
        <v>83</v>
      </c>
      <c r="C20" s="13">
        <v>1</v>
      </c>
      <c r="D20" s="14">
        <v>150</v>
      </c>
      <c r="E20" s="16">
        <v>22</v>
      </c>
      <c r="F20" s="16">
        <f t="shared" si="1"/>
        <v>380.13271108436498</v>
      </c>
      <c r="G20" s="43">
        <f t="shared" ref="G20:P29" si="13">IF(INT(0.4*G$7/$F20)&gt;=3,INT(0.4*G$7/$F20),IF(INT(0.31*G$7/$F20)&gt;=2,2,IF(0.53*G$7/$F20&gt;=1,1,0)))</f>
        <v>0</v>
      </c>
      <c r="H20" s="43">
        <f t="shared" si="13"/>
        <v>0</v>
      </c>
      <c r="I20" s="43">
        <f t="shared" si="13"/>
        <v>0</v>
      </c>
      <c r="J20" s="43">
        <f t="shared" si="13"/>
        <v>1</v>
      </c>
      <c r="K20" s="43">
        <f t="shared" si="13"/>
        <v>1</v>
      </c>
      <c r="L20" s="43">
        <f t="shared" si="13"/>
        <v>1</v>
      </c>
      <c r="M20" s="43">
        <f t="shared" si="13"/>
        <v>3</v>
      </c>
      <c r="N20" s="43">
        <f t="shared" si="13"/>
        <v>5</v>
      </c>
      <c r="O20" s="43">
        <f t="shared" si="13"/>
        <v>7</v>
      </c>
      <c r="P20" s="43">
        <f t="shared" si="13"/>
        <v>9</v>
      </c>
      <c r="Q20" s="31"/>
      <c r="R20" s="30">
        <f t="shared" si="3"/>
        <v>0</v>
      </c>
      <c r="S20" s="30">
        <f t="shared" si="4"/>
        <v>0</v>
      </c>
      <c r="T20" s="30">
        <f t="shared" si="5"/>
        <v>0</v>
      </c>
      <c r="U20" s="30">
        <f t="shared" si="6"/>
        <v>0.34843885355266163</v>
      </c>
      <c r="V20" s="30">
        <f t="shared" si="7"/>
        <v>0.25898516662458154</v>
      </c>
      <c r="W20" s="30">
        <f t="shared" si="8"/>
        <v>0.15936191489276935</v>
      </c>
      <c r="X20" s="30">
        <f t="shared" si="9"/>
        <v>0.33906271483312517</v>
      </c>
      <c r="Y20" s="30">
        <f t="shared" si="10"/>
        <v>0.36730282960234356</v>
      </c>
      <c r="Z20" s="30">
        <f t="shared" si="11"/>
        <v>0.38556135981437345</v>
      </c>
      <c r="AA20" s="30">
        <f t="shared" si="12"/>
        <v>0.38564240233473362</v>
      </c>
    </row>
    <row r="21" spans="1:27" ht="20.25">
      <c r="A21" s="13" t="s">
        <v>76</v>
      </c>
      <c r="B21" s="13" t="s">
        <v>84</v>
      </c>
      <c r="C21" s="13">
        <v>1</v>
      </c>
      <c r="D21" s="14">
        <v>185</v>
      </c>
      <c r="E21" s="16">
        <v>24</v>
      </c>
      <c r="F21" s="16">
        <f t="shared" si="1"/>
        <v>452.38934211693021</v>
      </c>
      <c r="G21" s="43">
        <f t="shared" si="13"/>
        <v>0</v>
      </c>
      <c r="H21" s="43">
        <f t="shared" si="13"/>
        <v>0</v>
      </c>
      <c r="I21" s="43">
        <f t="shared" si="13"/>
        <v>0</v>
      </c>
      <c r="J21" s="43">
        <f t="shared" si="13"/>
        <v>1</v>
      </c>
      <c r="K21" s="43">
        <f t="shared" si="13"/>
        <v>1</v>
      </c>
      <c r="L21" s="43">
        <f t="shared" si="13"/>
        <v>1</v>
      </c>
      <c r="M21" s="43">
        <f t="shared" si="13"/>
        <v>2</v>
      </c>
      <c r="N21" s="43">
        <f t="shared" si="13"/>
        <v>4</v>
      </c>
      <c r="O21" s="43">
        <f t="shared" si="13"/>
        <v>6</v>
      </c>
      <c r="P21" s="43">
        <f t="shared" si="13"/>
        <v>7</v>
      </c>
      <c r="Q21" s="31"/>
      <c r="R21" s="30">
        <f t="shared" si="3"/>
        <v>0</v>
      </c>
      <c r="S21" s="30">
        <f t="shared" si="4"/>
        <v>0</v>
      </c>
      <c r="T21" s="30">
        <f t="shared" si="5"/>
        <v>0</v>
      </c>
      <c r="U21" s="30">
        <f t="shared" si="6"/>
        <v>0.41467103232713448</v>
      </c>
      <c r="V21" s="30">
        <f t="shared" si="7"/>
        <v>0.30821375201603091</v>
      </c>
      <c r="W21" s="30">
        <f t="shared" si="8"/>
        <v>0.18965384912858502</v>
      </c>
      <c r="X21" s="30">
        <f t="shared" si="9"/>
        <v>0.26900843490892573</v>
      </c>
      <c r="Y21" s="30">
        <f t="shared" si="10"/>
        <v>0.3496965782660329</v>
      </c>
      <c r="Z21" s="30">
        <f t="shared" si="11"/>
        <v>0.39329989950368199</v>
      </c>
      <c r="AA21" s="30">
        <f t="shared" si="12"/>
        <v>0.35695825670653031</v>
      </c>
    </row>
    <row r="22" spans="1:27" ht="20.25">
      <c r="A22" s="13" t="s">
        <v>76</v>
      </c>
      <c r="B22" s="13" t="s">
        <v>85</v>
      </c>
      <c r="C22" s="13">
        <v>1</v>
      </c>
      <c r="D22" s="14">
        <v>240</v>
      </c>
      <c r="E22" s="16">
        <v>27</v>
      </c>
      <c r="F22" s="16">
        <f t="shared" si="1"/>
        <v>572.55526111673976</v>
      </c>
      <c r="G22" s="43">
        <f t="shared" si="13"/>
        <v>0</v>
      </c>
      <c r="H22" s="43">
        <f t="shared" si="13"/>
        <v>0</v>
      </c>
      <c r="I22" s="43">
        <f t="shared" si="13"/>
        <v>0</v>
      </c>
      <c r="J22" s="43">
        <f t="shared" si="13"/>
        <v>1</v>
      </c>
      <c r="K22" s="43">
        <f t="shared" si="13"/>
        <v>1</v>
      </c>
      <c r="L22" s="43">
        <f t="shared" si="13"/>
        <v>1</v>
      </c>
      <c r="M22" s="43">
        <f t="shared" si="13"/>
        <v>1</v>
      </c>
      <c r="N22" s="43">
        <f t="shared" si="13"/>
        <v>3</v>
      </c>
      <c r="O22" s="43">
        <f t="shared" si="13"/>
        <v>4</v>
      </c>
      <c r="P22" s="43">
        <f t="shared" si="13"/>
        <v>6</v>
      </c>
      <c r="Q22" s="31"/>
      <c r="R22" s="30">
        <f t="shared" si="3"/>
        <v>0</v>
      </c>
      <c r="S22" s="30">
        <f t="shared" si="4"/>
        <v>0</v>
      </c>
      <c r="T22" s="30">
        <f t="shared" si="5"/>
        <v>0</v>
      </c>
      <c r="U22" s="30">
        <f t="shared" si="6"/>
        <v>0.52481802528902954</v>
      </c>
      <c r="V22" s="30">
        <f t="shared" si="7"/>
        <v>0.39008302989528909</v>
      </c>
      <c r="W22" s="30">
        <f t="shared" si="8"/>
        <v>0.24003065280336539</v>
      </c>
      <c r="X22" s="30">
        <f t="shared" si="9"/>
        <v>0.17023190021580456</v>
      </c>
      <c r="Y22" s="30">
        <f t="shared" si="10"/>
        <v>0.33193854890096086</v>
      </c>
      <c r="Z22" s="30">
        <f t="shared" si="11"/>
        <v>0.33184679020623165</v>
      </c>
      <c r="AA22" s="30">
        <f t="shared" si="12"/>
        <v>0.38723596598074489</v>
      </c>
    </row>
    <row r="23" spans="1:27" ht="20.25">
      <c r="A23" s="13" t="s">
        <v>76</v>
      </c>
      <c r="B23" s="13" t="s">
        <v>86</v>
      </c>
      <c r="C23" s="13">
        <v>1</v>
      </c>
      <c r="D23" s="14">
        <v>300</v>
      </c>
      <c r="E23" s="16">
        <v>30</v>
      </c>
      <c r="F23" s="16">
        <f t="shared" si="1"/>
        <v>706.85834705770344</v>
      </c>
      <c r="G23" s="43">
        <f t="shared" si="13"/>
        <v>0</v>
      </c>
      <c r="H23" s="43">
        <f t="shared" si="13"/>
        <v>0</v>
      </c>
      <c r="I23" s="43">
        <f t="shared" si="13"/>
        <v>0</v>
      </c>
      <c r="J23" s="43">
        <f t="shared" si="13"/>
        <v>0</v>
      </c>
      <c r="K23" s="43">
        <f t="shared" si="13"/>
        <v>1</v>
      </c>
      <c r="L23" s="43">
        <f t="shared" si="13"/>
        <v>1</v>
      </c>
      <c r="M23" s="43">
        <f t="shared" si="13"/>
        <v>1</v>
      </c>
      <c r="N23" s="43">
        <f t="shared" si="13"/>
        <v>2</v>
      </c>
      <c r="O23" s="43">
        <f t="shared" si="13"/>
        <v>3</v>
      </c>
      <c r="P23" s="43">
        <f t="shared" si="13"/>
        <v>5</v>
      </c>
      <c r="Q23" s="31"/>
      <c r="R23" s="30">
        <f t="shared" si="3"/>
        <v>0</v>
      </c>
      <c r="S23" s="30">
        <f t="shared" si="4"/>
        <v>0</v>
      </c>
      <c r="T23" s="30">
        <f t="shared" si="5"/>
        <v>0</v>
      </c>
      <c r="U23" s="30">
        <f t="shared" si="6"/>
        <v>0</v>
      </c>
      <c r="V23" s="30">
        <f t="shared" si="7"/>
        <v>0.48158398752504833</v>
      </c>
      <c r="W23" s="30">
        <f t="shared" si="8"/>
        <v>0.29633413926341406</v>
      </c>
      <c r="X23" s="30">
        <f t="shared" si="9"/>
        <v>0.21016283977259823</v>
      </c>
      <c r="Y23" s="30">
        <f t="shared" si="10"/>
        <v>0.27320045177033819</v>
      </c>
      <c r="Z23" s="30">
        <f t="shared" si="11"/>
        <v>0.30726554648725157</v>
      </c>
      <c r="AA23" s="30">
        <f t="shared" si="12"/>
        <v>0.39839091150282396</v>
      </c>
    </row>
    <row r="24" spans="1:27" ht="20.25">
      <c r="A24" s="13" t="s">
        <v>76</v>
      </c>
      <c r="B24" s="13" t="s">
        <v>87</v>
      </c>
      <c r="C24" s="13">
        <v>1</v>
      </c>
      <c r="D24" s="14">
        <v>400</v>
      </c>
      <c r="E24" s="16">
        <v>33</v>
      </c>
      <c r="F24" s="16">
        <f t="shared" si="1"/>
        <v>855.2985999398212</v>
      </c>
      <c r="G24" s="43">
        <f t="shared" si="13"/>
        <v>0</v>
      </c>
      <c r="H24" s="43">
        <f t="shared" si="13"/>
        <v>0</v>
      </c>
      <c r="I24" s="43">
        <f t="shared" si="13"/>
        <v>0</v>
      </c>
      <c r="J24" s="43">
        <f t="shared" si="13"/>
        <v>0</v>
      </c>
      <c r="K24" s="43">
        <f t="shared" si="13"/>
        <v>0</v>
      </c>
      <c r="L24" s="43">
        <f t="shared" si="13"/>
        <v>1</v>
      </c>
      <c r="M24" s="43">
        <f t="shared" si="13"/>
        <v>1</v>
      </c>
      <c r="N24" s="43">
        <f t="shared" si="13"/>
        <v>1</v>
      </c>
      <c r="O24" s="43">
        <f t="shared" si="13"/>
        <v>3</v>
      </c>
      <c r="P24" s="43">
        <f t="shared" si="13"/>
        <v>4</v>
      </c>
      <c r="Q24" s="31"/>
      <c r="R24" s="30">
        <f t="shared" si="3"/>
        <v>0</v>
      </c>
      <c r="S24" s="30">
        <f t="shared" si="4"/>
        <v>0</v>
      </c>
      <c r="T24" s="30">
        <f t="shared" si="5"/>
        <v>0</v>
      </c>
      <c r="U24" s="30">
        <f t="shared" si="6"/>
        <v>0</v>
      </c>
      <c r="V24" s="30">
        <f t="shared" si="7"/>
        <v>0</v>
      </c>
      <c r="W24" s="30">
        <f t="shared" si="8"/>
        <v>0.35856430850873106</v>
      </c>
      <c r="X24" s="30">
        <f t="shared" si="9"/>
        <v>0.25429703612484389</v>
      </c>
      <c r="Y24" s="30">
        <f t="shared" si="10"/>
        <v>0.16528627332105461</v>
      </c>
      <c r="Z24" s="30">
        <f t="shared" si="11"/>
        <v>0.37179131124957437</v>
      </c>
      <c r="AA24" s="30">
        <f t="shared" si="12"/>
        <v>0.38564240233473362</v>
      </c>
    </row>
    <row r="25" spans="1:27" ht="20.25">
      <c r="A25" s="13" t="s">
        <v>76</v>
      </c>
      <c r="B25" s="13" t="s">
        <v>88</v>
      </c>
      <c r="C25" s="13">
        <v>1</v>
      </c>
      <c r="D25" s="14">
        <v>500</v>
      </c>
      <c r="E25" s="16">
        <v>37</v>
      </c>
      <c r="F25" s="16">
        <f t="shared" si="1"/>
        <v>1075.2100856911068</v>
      </c>
      <c r="G25" s="43">
        <f t="shared" si="13"/>
        <v>0</v>
      </c>
      <c r="H25" s="43">
        <f t="shared" si="13"/>
        <v>0</v>
      </c>
      <c r="I25" s="43">
        <f t="shared" si="13"/>
        <v>0</v>
      </c>
      <c r="J25" s="43">
        <f t="shared" si="13"/>
        <v>0</v>
      </c>
      <c r="K25" s="43">
        <f t="shared" si="13"/>
        <v>0</v>
      </c>
      <c r="L25" s="43">
        <f t="shared" si="13"/>
        <v>1</v>
      </c>
      <c r="M25" s="43">
        <f t="shared" si="13"/>
        <v>1</v>
      </c>
      <c r="N25" s="43">
        <f t="shared" si="13"/>
        <v>1</v>
      </c>
      <c r="O25" s="43">
        <f t="shared" si="13"/>
        <v>1</v>
      </c>
      <c r="P25" s="43">
        <f t="shared" si="13"/>
        <v>3</v>
      </c>
      <c r="Q25" s="31"/>
      <c r="R25" s="30">
        <f t="shared" si="3"/>
        <v>0</v>
      </c>
      <c r="S25" s="30">
        <f t="shared" si="4"/>
        <v>0</v>
      </c>
      <c r="T25" s="30">
        <f t="shared" si="5"/>
        <v>0</v>
      </c>
      <c r="U25" s="30">
        <f t="shared" si="6"/>
        <v>0</v>
      </c>
      <c r="V25" s="30">
        <f t="shared" si="7"/>
        <v>0</v>
      </c>
      <c r="W25" s="30">
        <f t="shared" si="8"/>
        <v>0.45075715183512655</v>
      </c>
      <c r="X25" s="30">
        <f t="shared" si="9"/>
        <v>0.31968103072076332</v>
      </c>
      <c r="Y25" s="30">
        <f t="shared" si="10"/>
        <v>0.20778412137421834</v>
      </c>
      <c r="Z25" s="30">
        <f t="shared" si="11"/>
        <v>0.15579501227446199</v>
      </c>
      <c r="AA25" s="30">
        <f t="shared" si="12"/>
        <v>0.36359810523157737</v>
      </c>
    </row>
    <row r="26" spans="1:27" ht="20.25">
      <c r="A26" s="13" t="s">
        <v>76</v>
      </c>
      <c r="B26" s="13" t="s">
        <v>89</v>
      </c>
      <c r="C26" s="13">
        <v>1</v>
      </c>
      <c r="D26" s="14">
        <v>630</v>
      </c>
      <c r="E26" s="16">
        <v>41</v>
      </c>
      <c r="F26" s="16">
        <f t="shared" si="1"/>
        <v>1320.2543126711105</v>
      </c>
      <c r="G26" s="43">
        <f t="shared" si="13"/>
        <v>0</v>
      </c>
      <c r="H26" s="43">
        <f t="shared" si="13"/>
        <v>0</v>
      </c>
      <c r="I26" s="43">
        <f t="shared" si="13"/>
        <v>0</v>
      </c>
      <c r="J26" s="43">
        <f t="shared" si="13"/>
        <v>0</v>
      </c>
      <c r="K26" s="43">
        <f t="shared" si="13"/>
        <v>0</v>
      </c>
      <c r="L26" s="43">
        <f t="shared" si="13"/>
        <v>0</v>
      </c>
      <c r="M26" s="43">
        <f t="shared" si="13"/>
        <v>1</v>
      </c>
      <c r="N26" s="43">
        <f t="shared" si="13"/>
        <v>1</v>
      </c>
      <c r="O26" s="43">
        <f t="shared" si="13"/>
        <v>1</v>
      </c>
      <c r="P26" s="43">
        <f t="shared" si="13"/>
        <v>2</v>
      </c>
      <c r="Q26" s="31"/>
      <c r="R26" s="30">
        <f t="shared" si="3"/>
        <v>0</v>
      </c>
      <c r="S26" s="30">
        <f t="shared" si="4"/>
        <v>0</v>
      </c>
      <c r="T26" s="30">
        <f t="shared" si="5"/>
        <v>0</v>
      </c>
      <c r="U26" s="30">
        <f t="shared" si="6"/>
        <v>0</v>
      </c>
      <c r="V26" s="30">
        <f t="shared" si="7"/>
        <v>0</v>
      </c>
      <c r="W26" s="30">
        <f t="shared" si="8"/>
        <v>0</v>
      </c>
      <c r="X26" s="30">
        <f t="shared" si="9"/>
        <v>0.39253748184193066</v>
      </c>
      <c r="Y26" s="30">
        <f t="shared" si="10"/>
        <v>0.25513886634774358</v>
      </c>
      <c r="Z26" s="30">
        <f t="shared" si="11"/>
        <v>0.19130125320187771</v>
      </c>
      <c r="AA26" s="30">
        <f t="shared" si="12"/>
        <v>0.29764227654944314</v>
      </c>
    </row>
    <row r="27" spans="1:27" ht="20.25">
      <c r="A27" s="13" t="s">
        <v>76</v>
      </c>
      <c r="B27" s="13" t="s">
        <v>90</v>
      </c>
      <c r="C27" s="13">
        <v>2</v>
      </c>
      <c r="D27" s="14">
        <v>10</v>
      </c>
      <c r="E27" s="16">
        <v>16</v>
      </c>
      <c r="F27" s="16">
        <f t="shared" si="1"/>
        <v>201.06192982974676</v>
      </c>
      <c r="G27" s="43">
        <f t="shared" si="13"/>
        <v>0</v>
      </c>
      <c r="H27" s="43">
        <f t="shared" si="13"/>
        <v>1</v>
      </c>
      <c r="I27" s="43">
        <f t="shared" si="13"/>
        <v>1</v>
      </c>
      <c r="J27" s="43">
        <f t="shared" si="13"/>
        <v>1</v>
      </c>
      <c r="K27" s="43">
        <f t="shared" si="13"/>
        <v>2</v>
      </c>
      <c r="L27" s="43">
        <f t="shared" si="13"/>
        <v>4</v>
      </c>
      <c r="M27" s="43">
        <f t="shared" si="13"/>
        <v>6</v>
      </c>
      <c r="N27" s="43">
        <f t="shared" si="13"/>
        <v>10</v>
      </c>
      <c r="O27" s="43">
        <f t="shared" si="13"/>
        <v>13</v>
      </c>
      <c r="P27" s="43">
        <f t="shared" si="13"/>
        <v>17</v>
      </c>
      <c r="Q27" s="31"/>
      <c r="R27" s="30">
        <f t="shared" si="3"/>
        <v>0</v>
      </c>
      <c r="S27" s="30">
        <f t="shared" si="4"/>
        <v>0.51294833888893787</v>
      </c>
      <c r="T27" s="30">
        <f t="shared" si="5"/>
        <v>0.31628269000898807</v>
      </c>
      <c r="U27" s="30">
        <f t="shared" si="6"/>
        <v>0.18429823658983754</v>
      </c>
      <c r="V27" s="30">
        <f t="shared" si="7"/>
        <v>0.27396777956980528</v>
      </c>
      <c r="W27" s="30">
        <f t="shared" si="8"/>
        <v>0.3371623984508178</v>
      </c>
      <c r="X27" s="30">
        <f t="shared" si="9"/>
        <v>0.35867791321190101</v>
      </c>
      <c r="Y27" s="30">
        <f t="shared" si="10"/>
        <v>0.38855175362892541</v>
      </c>
      <c r="Z27" s="30">
        <f t="shared" si="11"/>
        <v>0.37873323655910118</v>
      </c>
      <c r="AA27" s="30">
        <f t="shared" si="12"/>
        <v>0.38528827708006447</v>
      </c>
    </row>
    <row r="28" spans="1:27" ht="20.25">
      <c r="A28" s="13" t="s">
        <v>76</v>
      </c>
      <c r="B28" s="13" t="s">
        <v>91</v>
      </c>
      <c r="C28" s="13">
        <v>2</v>
      </c>
      <c r="D28" s="14">
        <v>16</v>
      </c>
      <c r="E28" s="16">
        <v>18</v>
      </c>
      <c r="F28" s="16">
        <f t="shared" si="1"/>
        <v>254.46900494077323</v>
      </c>
      <c r="G28" s="43">
        <f t="shared" si="13"/>
        <v>0</v>
      </c>
      <c r="H28" s="43">
        <f t="shared" si="13"/>
        <v>0</v>
      </c>
      <c r="I28" s="43">
        <f t="shared" si="13"/>
        <v>1</v>
      </c>
      <c r="J28" s="43">
        <f t="shared" si="13"/>
        <v>1</v>
      </c>
      <c r="K28" s="43">
        <f t="shared" si="13"/>
        <v>1</v>
      </c>
      <c r="L28" s="43">
        <f t="shared" si="13"/>
        <v>3</v>
      </c>
      <c r="M28" s="43">
        <f t="shared" si="13"/>
        <v>5</v>
      </c>
      <c r="N28" s="43">
        <f t="shared" si="13"/>
        <v>8</v>
      </c>
      <c r="O28" s="43">
        <f t="shared" si="13"/>
        <v>10</v>
      </c>
      <c r="P28" s="43">
        <f t="shared" si="13"/>
        <v>13</v>
      </c>
      <c r="Q28" s="31"/>
      <c r="R28" s="30">
        <f t="shared" si="3"/>
        <v>0</v>
      </c>
      <c r="S28" s="30">
        <f t="shared" si="4"/>
        <v>0</v>
      </c>
      <c r="T28" s="30">
        <f t="shared" si="5"/>
        <v>0.4002952795426255</v>
      </c>
      <c r="U28" s="30">
        <f t="shared" si="6"/>
        <v>0.23325245568401312</v>
      </c>
      <c r="V28" s="30">
        <f t="shared" si="7"/>
        <v>0.1733702355090174</v>
      </c>
      <c r="W28" s="30">
        <f t="shared" si="8"/>
        <v>0.3200408704044872</v>
      </c>
      <c r="X28" s="30">
        <f t="shared" si="9"/>
        <v>0.3782931115906768</v>
      </c>
      <c r="Y28" s="30">
        <f t="shared" si="10"/>
        <v>0.39340865054928698</v>
      </c>
      <c r="Z28" s="30">
        <f t="shared" si="11"/>
        <v>0.36871865578470181</v>
      </c>
      <c r="AA28" s="30">
        <f t="shared" si="12"/>
        <v>0.37289389316664323</v>
      </c>
    </row>
    <row r="29" spans="1:27" ht="20.25">
      <c r="A29" s="13" t="s">
        <v>76</v>
      </c>
      <c r="B29" s="13" t="s">
        <v>92</v>
      </c>
      <c r="C29" s="13">
        <v>2</v>
      </c>
      <c r="D29" s="14">
        <v>25</v>
      </c>
      <c r="E29" s="16">
        <v>21</v>
      </c>
      <c r="F29" s="16">
        <f t="shared" si="1"/>
        <v>346.36059005827468</v>
      </c>
      <c r="G29" s="43">
        <f t="shared" si="13"/>
        <v>0</v>
      </c>
      <c r="H29" s="43">
        <f t="shared" si="13"/>
        <v>0</v>
      </c>
      <c r="I29" s="43">
        <f t="shared" si="13"/>
        <v>0</v>
      </c>
      <c r="J29" s="43">
        <f t="shared" si="13"/>
        <v>1</v>
      </c>
      <c r="K29" s="43">
        <f t="shared" si="13"/>
        <v>1</v>
      </c>
      <c r="L29" s="43">
        <f t="shared" si="13"/>
        <v>2</v>
      </c>
      <c r="M29" s="43">
        <f t="shared" si="13"/>
        <v>3</v>
      </c>
      <c r="N29" s="43">
        <f t="shared" si="13"/>
        <v>5</v>
      </c>
      <c r="O29" s="43">
        <f t="shared" si="13"/>
        <v>7</v>
      </c>
      <c r="P29" s="43">
        <f t="shared" si="13"/>
        <v>10</v>
      </c>
      <c r="Q29" s="31"/>
      <c r="R29" s="30">
        <f t="shared" si="3"/>
        <v>0</v>
      </c>
      <c r="S29" s="30">
        <f t="shared" si="4"/>
        <v>0</v>
      </c>
      <c r="T29" s="30">
        <f t="shared" si="5"/>
        <v>0</v>
      </c>
      <c r="U29" s="30">
        <f t="shared" si="6"/>
        <v>0.31748250912546233</v>
      </c>
      <c r="V29" s="30">
        <f t="shared" si="7"/>
        <v>0.23597615388727367</v>
      </c>
      <c r="W29" s="30">
        <f t="shared" si="8"/>
        <v>0.29040745647814581</v>
      </c>
      <c r="X29" s="30">
        <f t="shared" si="9"/>
        <v>0.3089393744657194</v>
      </c>
      <c r="Y29" s="30">
        <f t="shared" si="10"/>
        <v>0.33467055341866425</v>
      </c>
      <c r="Z29" s="30">
        <f t="shared" si="11"/>
        <v>0.35130694148375757</v>
      </c>
      <c r="AA29" s="30">
        <f t="shared" si="12"/>
        <v>0.39042309327276747</v>
      </c>
    </row>
    <row r="30" spans="1:27" ht="20.25">
      <c r="A30" s="13" t="s">
        <v>76</v>
      </c>
      <c r="B30" s="13" t="s">
        <v>93</v>
      </c>
      <c r="C30" s="13">
        <v>2</v>
      </c>
      <c r="D30" s="14">
        <v>35</v>
      </c>
      <c r="E30" s="16">
        <v>23</v>
      </c>
      <c r="F30" s="16">
        <f t="shared" si="1"/>
        <v>415.47562843725012</v>
      </c>
      <c r="G30" s="43">
        <f t="shared" ref="G30:P39" si="14">IF(INT(0.4*G$7/$F30)&gt;=3,INT(0.4*G$7/$F30),IF(INT(0.31*G$7/$F30)&gt;=2,2,IF(0.53*G$7/$F30&gt;=1,1,0)))</f>
        <v>0</v>
      </c>
      <c r="H30" s="43">
        <f t="shared" si="14"/>
        <v>0</v>
      </c>
      <c r="I30" s="43">
        <f t="shared" si="14"/>
        <v>0</v>
      </c>
      <c r="J30" s="43">
        <f t="shared" si="14"/>
        <v>1</v>
      </c>
      <c r="K30" s="43">
        <f t="shared" si="14"/>
        <v>1</v>
      </c>
      <c r="L30" s="43">
        <f t="shared" si="14"/>
        <v>1</v>
      </c>
      <c r="M30" s="43">
        <f t="shared" si="14"/>
        <v>3</v>
      </c>
      <c r="N30" s="43">
        <f t="shared" si="14"/>
        <v>4</v>
      </c>
      <c r="O30" s="43">
        <f t="shared" si="14"/>
        <v>6</v>
      </c>
      <c r="P30" s="43">
        <f t="shared" si="14"/>
        <v>8</v>
      </c>
      <c r="Q30" s="31"/>
      <c r="R30" s="30">
        <f t="shared" si="3"/>
        <v>0</v>
      </c>
      <c r="S30" s="30">
        <f t="shared" si="4"/>
        <v>0</v>
      </c>
      <c r="T30" s="30">
        <f t="shared" si="5"/>
        <v>0</v>
      </c>
      <c r="U30" s="30">
        <f t="shared" si="6"/>
        <v>0.380835027953219</v>
      </c>
      <c r="V30" s="30">
        <f t="shared" si="7"/>
        <v>0.28306436600083396</v>
      </c>
      <c r="W30" s="30">
        <f t="shared" si="8"/>
        <v>0.17417862185594005</v>
      </c>
      <c r="X30" s="30">
        <f t="shared" si="9"/>
        <v>0.37058714079901484</v>
      </c>
      <c r="Y30" s="30">
        <f t="shared" si="10"/>
        <v>0.32116230885890867</v>
      </c>
      <c r="Z30" s="30">
        <f t="shared" si="11"/>
        <v>0.36120772020390235</v>
      </c>
      <c r="AA30" s="30">
        <f t="shared" si="12"/>
        <v>0.37466451943998913</v>
      </c>
    </row>
    <row r="31" spans="1:27" ht="20.25">
      <c r="A31" s="13" t="s">
        <v>76</v>
      </c>
      <c r="B31" s="13" t="s">
        <v>94</v>
      </c>
      <c r="C31" s="13">
        <v>2</v>
      </c>
      <c r="D31" s="14">
        <v>50</v>
      </c>
      <c r="E31" s="16">
        <v>25</v>
      </c>
      <c r="F31" s="16">
        <f t="shared" si="1"/>
        <v>490.87385212340519</v>
      </c>
      <c r="G31" s="43">
        <f t="shared" si="14"/>
        <v>0</v>
      </c>
      <c r="H31" s="43">
        <f t="shared" si="14"/>
        <v>0</v>
      </c>
      <c r="I31" s="43">
        <f t="shared" si="14"/>
        <v>0</v>
      </c>
      <c r="J31" s="43">
        <f t="shared" si="14"/>
        <v>1</v>
      </c>
      <c r="K31" s="43">
        <f t="shared" si="14"/>
        <v>1</v>
      </c>
      <c r="L31" s="43">
        <f t="shared" si="14"/>
        <v>1</v>
      </c>
      <c r="M31" s="43">
        <f t="shared" si="14"/>
        <v>2</v>
      </c>
      <c r="N31" s="43">
        <f t="shared" si="14"/>
        <v>4</v>
      </c>
      <c r="O31" s="43">
        <f t="shared" si="14"/>
        <v>5</v>
      </c>
      <c r="P31" s="43">
        <f t="shared" si="14"/>
        <v>7</v>
      </c>
      <c r="Q31" s="31"/>
      <c r="R31" s="30">
        <f t="shared" si="3"/>
        <v>0</v>
      </c>
      <c r="S31" s="30">
        <f t="shared" si="4"/>
        <v>0</v>
      </c>
      <c r="T31" s="30">
        <f t="shared" si="5"/>
        <v>0</v>
      </c>
      <c r="U31" s="30">
        <f t="shared" si="6"/>
        <v>0.44994686667440809</v>
      </c>
      <c r="V31" s="30">
        <f t="shared" si="7"/>
        <v>0.33443332467017245</v>
      </c>
      <c r="W31" s="30">
        <f t="shared" si="8"/>
        <v>0.20578759671070423</v>
      </c>
      <c r="X31" s="30">
        <f t="shared" si="9"/>
        <v>0.29189283301749758</v>
      </c>
      <c r="Y31" s="30">
        <f t="shared" si="10"/>
        <v>0.3794450719032475</v>
      </c>
      <c r="Z31" s="30">
        <f t="shared" si="11"/>
        <v>0.35563141954543009</v>
      </c>
      <c r="AA31" s="30">
        <f t="shared" si="12"/>
        <v>0.38732449729441215</v>
      </c>
    </row>
    <row r="32" spans="1:27" ht="20.25">
      <c r="A32" s="13" t="s">
        <v>76</v>
      </c>
      <c r="B32" s="13" t="s">
        <v>95</v>
      </c>
      <c r="C32" s="13">
        <v>2</v>
      </c>
      <c r="D32" s="14">
        <v>70</v>
      </c>
      <c r="E32" s="16">
        <v>30</v>
      </c>
      <c r="F32" s="16">
        <f t="shared" si="1"/>
        <v>706.85834705770344</v>
      </c>
      <c r="G32" s="43">
        <f t="shared" si="14"/>
        <v>0</v>
      </c>
      <c r="H32" s="43">
        <f t="shared" si="14"/>
        <v>0</v>
      </c>
      <c r="I32" s="43">
        <f t="shared" si="14"/>
        <v>0</v>
      </c>
      <c r="J32" s="43">
        <f t="shared" si="14"/>
        <v>0</v>
      </c>
      <c r="K32" s="43">
        <f t="shared" si="14"/>
        <v>1</v>
      </c>
      <c r="L32" s="43">
        <f t="shared" si="14"/>
        <v>1</v>
      </c>
      <c r="M32" s="43">
        <f t="shared" si="14"/>
        <v>1</v>
      </c>
      <c r="N32" s="43">
        <f t="shared" si="14"/>
        <v>2</v>
      </c>
      <c r="O32" s="43">
        <f t="shared" si="14"/>
        <v>3</v>
      </c>
      <c r="P32" s="43">
        <f t="shared" si="14"/>
        <v>5</v>
      </c>
      <c r="Q32" s="31"/>
      <c r="R32" s="30">
        <f t="shared" si="3"/>
        <v>0</v>
      </c>
      <c r="S32" s="30">
        <f t="shared" si="4"/>
        <v>0</v>
      </c>
      <c r="T32" s="30">
        <f t="shared" si="5"/>
        <v>0</v>
      </c>
      <c r="U32" s="30">
        <f t="shared" si="6"/>
        <v>0</v>
      </c>
      <c r="V32" s="30">
        <f t="shared" si="7"/>
        <v>0.48158398752504833</v>
      </c>
      <c r="W32" s="30">
        <f t="shared" si="8"/>
        <v>0.29633413926341406</v>
      </c>
      <c r="X32" s="30">
        <f t="shared" si="9"/>
        <v>0.21016283977259823</v>
      </c>
      <c r="Y32" s="30">
        <f t="shared" si="10"/>
        <v>0.27320045177033819</v>
      </c>
      <c r="Z32" s="30">
        <f t="shared" si="11"/>
        <v>0.30726554648725157</v>
      </c>
      <c r="AA32" s="30">
        <f t="shared" si="12"/>
        <v>0.39839091150282396</v>
      </c>
    </row>
    <row r="33" spans="1:27" ht="20.25">
      <c r="A33" s="13" t="s">
        <v>76</v>
      </c>
      <c r="B33" s="13" t="s">
        <v>96</v>
      </c>
      <c r="C33" s="13">
        <v>2</v>
      </c>
      <c r="D33" s="14">
        <v>95</v>
      </c>
      <c r="E33" s="16">
        <v>33</v>
      </c>
      <c r="F33" s="16">
        <f t="shared" si="1"/>
        <v>855.2985999398212</v>
      </c>
      <c r="G33" s="43">
        <f t="shared" si="14"/>
        <v>0</v>
      </c>
      <c r="H33" s="43">
        <f t="shared" si="14"/>
        <v>0</v>
      </c>
      <c r="I33" s="43">
        <f t="shared" si="14"/>
        <v>0</v>
      </c>
      <c r="J33" s="43">
        <f t="shared" si="14"/>
        <v>0</v>
      </c>
      <c r="K33" s="43">
        <f t="shared" si="14"/>
        <v>0</v>
      </c>
      <c r="L33" s="43">
        <f t="shared" si="14"/>
        <v>1</v>
      </c>
      <c r="M33" s="43">
        <f t="shared" si="14"/>
        <v>1</v>
      </c>
      <c r="N33" s="43">
        <f t="shared" si="14"/>
        <v>1</v>
      </c>
      <c r="O33" s="43">
        <f t="shared" si="14"/>
        <v>3</v>
      </c>
      <c r="P33" s="43">
        <f t="shared" si="14"/>
        <v>4</v>
      </c>
      <c r="Q33" s="31"/>
      <c r="R33" s="30">
        <f t="shared" si="3"/>
        <v>0</v>
      </c>
      <c r="S33" s="30">
        <f t="shared" si="4"/>
        <v>0</v>
      </c>
      <c r="T33" s="30">
        <f t="shared" si="5"/>
        <v>0</v>
      </c>
      <c r="U33" s="30">
        <f t="shared" si="6"/>
        <v>0</v>
      </c>
      <c r="V33" s="30">
        <f t="shared" si="7"/>
        <v>0</v>
      </c>
      <c r="W33" s="30">
        <f t="shared" si="8"/>
        <v>0.35856430850873106</v>
      </c>
      <c r="X33" s="30">
        <f t="shared" si="9"/>
        <v>0.25429703612484389</v>
      </c>
      <c r="Y33" s="30">
        <f t="shared" si="10"/>
        <v>0.16528627332105461</v>
      </c>
      <c r="Z33" s="30">
        <f t="shared" si="11"/>
        <v>0.37179131124957437</v>
      </c>
      <c r="AA33" s="30">
        <f t="shared" si="12"/>
        <v>0.38564240233473362</v>
      </c>
    </row>
    <row r="34" spans="1:27" ht="20.25">
      <c r="A34" s="13" t="s">
        <v>76</v>
      </c>
      <c r="B34" s="13" t="s">
        <v>97</v>
      </c>
      <c r="C34" s="13">
        <v>2</v>
      </c>
      <c r="D34" s="14">
        <v>120</v>
      </c>
      <c r="E34" s="16">
        <v>37</v>
      </c>
      <c r="F34" s="16">
        <f t="shared" si="1"/>
        <v>1075.2100856911068</v>
      </c>
      <c r="G34" s="43">
        <f t="shared" si="14"/>
        <v>0</v>
      </c>
      <c r="H34" s="43">
        <f t="shared" si="14"/>
        <v>0</v>
      </c>
      <c r="I34" s="43">
        <f t="shared" si="14"/>
        <v>0</v>
      </c>
      <c r="J34" s="43">
        <f t="shared" si="14"/>
        <v>0</v>
      </c>
      <c r="K34" s="43">
        <f t="shared" si="14"/>
        <v>0</v>
      </c>
      <c r="L34" s="43">
        <f t="shared" si="14"/>
        <v>1</v>
      </c>
      <c r="M34" s="43">
        <f t="shared" si="14"/>
        <v>1</v>
      </c>
      <c r="N34" s="43">
        <f t="shared" si="14"/>
        <v>1</v>
      </c>
      <c r="O34" s="43">
        <f t="shared" si="14"/>
        <v>1</v>
      </c>
      <c r="P34" s="43">
        <f t="shared" si="14"/>
        <v>3</v>
      </c>
      <c r="Q34" s="31"/>
      <c r="R34" s="30">
        <f t="shared" si="3"/>
        <v>0</v>
      </c>
      <c r="S34" s="30">
        <f t="shared" si="4"/>
        <v>0</v>
      </c>
      <c r="T34" s="30">
        <f t="shared" si="5"/>
        <v>0</v>
      </c>
      <c r="U34" s="30">
        <f t="shared" si="6"/>
        <v>0</v>
      </c>
      <c r="V34" s="30">
        <f t="shared" si="7"/>
        <v>0</v>
      </c>
      <c r="W34" s="30">
        <f t="shared" si="8"/>
        <v>0.45075715183512655</v>
      </c>
      <c r="X34" s="30">
        <f t="shared" si="9"/>
        <v>0.31968103072076332</v>
      </c>
      <c r="Y34" s="30">
        <f t="shared" si="10"/>
        <v>0.20778412137421834</v>
      </c>
      <c r="Z34" s="30">
        <f t="shared" si="11"/>
        <v>0.15579501227446199</v>
      </c>
      <c r="AA34" s="30">
        <f t="shared" si="12"/>
        <v>0.36359810523157737</v>
      </c>
    </row>
    <row r="35" spans="1:27" ht="20.25">
      <c r="A35" s="13" t="s">
        <v>76</v>
      </c>
      <c r="B35" s="13" t="s">
        <v>98</v>
      </c>
      <c r="C35" s="13">
        <v>2</v>
      </c>
      <c r="D35" s="14">
        <v>150</v>
      </c>
      <c r="E35" s="16">
        <v>41</v>
      </c>
      <c r="F35" s="16">
        <f t="shared" si="1"/>
        <v>1320.2543126711105</v>
      </c>
      <c r="G35" s="43">
        <f t="shared" si="14"/>
        <v>0</v>
      </c>
      <c r="H35" s="43">
        <f t="shared" si="14"/>
        <v>0</v>
      </c>
      <c r="I35" s="43">
        <f t="shared" si="14"/>
        <v>0</v>
      </c>
      <c r="J35" s="43">
        <f t="shared" si="14"/>
        <v>0</v>
      </c>
      <c r="K35" s="43">
        <f t="shared" si="14"/>
        <v>0</v>
      </c>
      <c r="L35" s="43">
        <f t="shared" si="14"/>
        <v>0</v>
      </c>
      <c r="M35" s="43">
        <f t="shared" si="14"/>
        <v>1</v>
      </c>
      <c r="N35" s="43">
        <f t="shared" si="14"/>
        <v>1</v>
      </c>
      <c r="O35" s="43">
        <f t="shared" si="14"/>
        <v>1</v>
      </c>
      <c r="P35" s="43">
        <f t="shared" si="14"/>
        <v>2</v>
      </c>
      <c r="Q35" s="31"/>
      <c r="R35" s="30">
        <f t="shared" si="3"/>
        <v>0</v>
      </c>
      <c r="S35" s="30">
        <f t="shared" si="4"/>
        <v>0</v>
      </c>
      <c r="T35" s="30">
        <f t="shared" si="5"/>
        <v>0</v>
      </c>
      <c r="U35" s="30">
        <f t="shared" si="6"/>
        <v>0</v>
      </c>
      <c r="V35" s="30">
        <f t="shared" si="7"/>
        <v>0</v>
      </c>
      <c r="W35" s="30">
        <f t="shared" si="8"/>
        <v>0</v>
      </c>
      <c r="X35" s="30">
        <f t="shared" si="9"/>
        <v>0.39253748184193066</v>
      </c>
      <c r="Y35" s="30">
        <f t="shared" si="10"/>
        <v>0.25513886634774358</v>
      </c>
      <c r="Z35" s="30">
        <f t="shared" si="11"/>
        <v>0.19130125320187771</v>
      </c>
      <c r="AA35" s="30">
        <f t="shared" si="12"/>
        <v>0.29764227654944314</v>
      </c>
    </row>
    <row r="36" spans="1:27" ht="20.25">
      <c r="A36" s="13" t="s">
        <v>76</v>
      </c>
      <c r="B36" s="13" t="s">
        <v>99</v>
      </c>
      <c r="C36" s="13">
        <v>2</v>
      </c>
      <c r="D36" s="14">
        <v>185</v>
      </c>
      <c r="E36" s="16">
        <v>45</v>
      </c>
      <c r="F36" s="16">
        <f t="shared" si="1"/>
        <v>1590.4312808798327</v>
      </c>
      <c r="G36" s="43">
        <f t="shared" si="14"/>
        <v>0</v>
      </c>
      <c r="H36" s="43">
        <f t="shared" si="14"/>
        <v>0</v>
      </c>
      <c r="I36" s="43">
        <f t="shared" si="14"/>
        <v>0</v>
      </c>
      <c r="J36" s="43">
        <f t="shared" si="14"/>
        <v>0</v>
      </c>
      <c r="K36" s="43">
        <f t="shared" si="14"/>
        <v>0</v>
      </c>
      <c r="L36" s="43">
        <f t="shared" si="14"/>
        <v>0</v>
      </c>
      <c r="M36" s="43">
        <f t="shared" si="14"/>
        <v>1</v>
      </c>
      <c r="N36" s="43">
        <f t="shared" si="14"/>
        <v>1</v>
      </c>
      <c r="O36" s="43">
        <f t="shared" si="14"/>
        <v>1</v>
      </c>
      <c r="P36" s="43">
        <f t="shared" si="14"/>
        <v>1</v>
      </c>
      <c r="Q36" s="31"/>
      <c r="R36" s="30">
        <f t="shared" si="3"/>
        <v>0</v>
      </c>
      <c r="S36" s="30">
        <f t="shared" si="4"/>
        <v>0</v>
      </c>
      <c r="T36" s="30">
        <f t="shared" si="5"/>
        <v>0</v>
      </c>
      <c r="U36" s="30">
        <f t="shared" si="6"/>
        <v>0</v>
      </c>
      <c r="V36" s="30">
        <f t="shared" si="7"/>
        <v>0</v>
      </c>
      <c r="W36" s="30">
        <f t="shared" si="8"/>
        <v>0</v>
      </c>
      <c r="X36" s="30">
        <f t="shared" si="9"/>
        <v>0.47286638948834603</v>
      </c>
      <c r="Y36" s="30">
        <f t="shared" si="10"/>
        <v>0.30735050824163046</v>
      </c>
      <c r="Z36" s="30">
        <f t="shared" si="11"/>
        <v>0.23044915986543865</v>
      </c>
      <c r="AA36" s="30">
        <f t="shared" si="12"/>
        <v>0.17927591017627079</v>
      </c>
    </row>
    <row r="37" spans="1:27" ht="20.25">
      <c r="A37" s="13" t="s">
        <v>76</v>
      </c>
      <c r="B37" s="13" t="s">
        <v>100</v>
      </c>
      <c r="C37" s="13">
        <v>2</v>
      </c>
      <c r="D37" s="14">
        <v>240</v>
      </c>
      <c r="E37" s="16">
        <v>51</v>
      </c>
      <c r="F37" s="16">
        <f t="shared" si="1"/>
        <v>2042.8206229967629</v>
      </c>
      <c r="G37" s="43">
        <f t="shared" si="14"/>
        <v>0</v>
      </c>
      <c r="H37" s="43">
        <f t="shared" si="14"/>
        <v>0</v>
      </c>
      <c r="I37" s="43">
        <f t="shared" si="14"/>
        <v>0</v>
      </c>
      <c r="J37" s="43">
        <f t="shared" si="14"/>
        <v>0</v>
      </c>
      <c r="K37" s="43">
        <f t="shared" si="14"/>
        <v>0</v>
      </c>
      <c r="L37" s="43">
        <f t="shared" si="14"/>
        <v>0</v>
      </c>
      <c r="M37" s="43">
        <f t="shared" si="14"/>
        <v>0</v>
      </c>
      <c r="N37" s="43">
        <f t="shared" si="14"/>
        <v>1</v>
      </c>
      <c r="O37" s="43">
        <f t="shared" si="14"/>
        <v>1</v>
      </c>
      <c r="P37" s="43">
        <f t="shared" si="14"/>
        <v>1</v>
      </c>
      <c r="Q37" s="31"/>
      <c r="R37" s="30">
        <f t="shared" si="3"/>
        <v>0</v>
      </c>
      <c r="S37" s="30">
        <f t="shared" si="4"/>
        <v>0</v>
      </c>
      <c r="T37" s="30">
        <f t="shared" si="5"/>
        <v>0</v>
      </c>
      <c r="U37" s="30">
        <f t="shared" si="6"/>
        <v>0</v>
      </c>
      <c r="V37" s="30">
        <f t="shared" si="7"/>
        <v>0</v>
      </c>
      <c r="W37" s="30">
        <f t="shared" si="8"/>
        <v>0</v>
      </c>
      <c r="X37" s="30">
        <f t="shared" si="9"/>
        <v>0</v>
      </c>
      <c r="Y37" s="30">
        <f t="shared" si="10"/>
        <v>0.39477465280813867</v>
      </c>
      <c r="Z37" s="30">
        <f t="shared" si="11"/>
        <v>0.2959991431160523</v>
      </c>
      <c r="AA37" s="30">
        <f t="shared" si="12"/>
        <v>0.23026994684863225</v>
      </c>
    </row>
    <row r="38" spans="1:27" ht="20.25">
      <c r="A38" s="13" t="s">
        <v>76</v>
      </c>
      <c r="B38" s="13" t="s">
        <v>101</v>
      </c>
      <c r="C38" s="13">
        <v>2</v>
      </c>
      <c r="D38" s="14">
        <v>300</v>
      </c>
      <c r="E38" s="16">
        <v>55</v>
      </c>
      <c r="F38" s="16">
        <f t="shared" si="1"/>
        <v>2375.8294442772813</v>
      </c>
      <c r="G38" s="43">
        <f t="shared" si="14"/>
        <v>0</v>
      </c>
      <c r="H38" s="43">
        <f t="shared" si="14"/>
        <v>0</v>
      </c>
      <c r="I38" s="43">
        <f t="shared" si="14"/>
        <v>0</v>
      </c>
      <c r="J38" s="43">
        <f t="shared" si="14"/>
        <v>0</v>
      </c>
      <c r="K38" s="43">
        <f t="shared" si="14"/>
        <v>0</v>
      </c>
      <c r="L38" s="43">
        <f t="shared" si="14"/>
        <v>0</v>
      </c>
      <c r="M38" s="43">
        <f t="shared" si="14"/>
        <v>0</v>
      </c>
      <c r="N38" s="43">
        <f t="shared" si="14"/>
        <v>1</v>
      </c>
      <c r="O38" s="43">
        <f t="shared" si="14"/>
        <v>1</v>
      </c>
      <c r="P38" s="43">
        <f t="shared" si="14"/>
        <v>1</v>
      </c>
      <c r="Q38" s="31"/>
      <c r="R38" s="30">
        <f t="shared" si="3"/>
        <v>0</v>
      </c>
      <c r="S38" s="30">
        <f t="shared" si="4"/>
        <v>0</v>
      </c>
      <c r="T38" s="30">
        <f t="shared" si="5"/>
        <v>0</v>
      </c>
      <c r="U38" s="30">
        <f t="shared" si="6"/>
        <v>0</v>
      </c>
      <c r="V38" s="30">
        <f t="shared" si="7"/>
        <v>0</v>
      </c>
      <c r="W38" s="30">
        <f t="shared" si="8"/>
        <v>0</v>
      </c>
      <c r="X38" s="30">
        <f t="shared" si="9"/>
        <v>0</v>
      </c>
      <c r="Y38" s="30">
        <f t="shared" si="10"/>
        <v>0.45912853700292949</v>
      </c>
      <c r="Z38" s="30">
        <f t="shared" si="11"/>
        <v>0.34425121411997628</v>
      </c>
      <c r="AA38" s="30">
        <f t="shared" si="12"/>
        <v>0.26780722384356503</v>
      </c>
    </row>
    <row r="39" spans="1:27" ht="20.25">
      <c r="A39" s="13" t="s">
        <v>76</v>
      </c>
      <c r="B39" s="13" t="s">
        <v>102</v>
      </c>
      <c r="C39" s="13">
        <v>2</v>
      </c>
      <c r="D39" s="14">
        <v>400</v>
      </c>
      <c r="E39" s="16">
        <v>62</v>
      </c>
      <c r="F39" s="16">
        <f t="shared" si="1"/>
        <v>3019.0705400997913</v>
      </c>
      <c r="G39" s="43">
        <f t="shared" si="14"/>
        <v>0</v>
      </c>
      <c r="H39" s="43">
        <f t="shared" si="14"/>
        <v>0</v>
      </c>
      <c r="I39" s="43">
        <f t="shared" si="14"/>
        <v>0</v>
      </c>
      <c r="J39" s="43">
        <f t="shared" si="14"/>
        <v>0</v>
      </c>
      <c r="K39" s="43">
        <f t="shared" si="14"/>
        <v>0</v>
      </c>
      <c r="L39" s="43">
        <f t="shared" si="14"/>
        <v>0</v>
      </c>
      <c r="M39" s="43">
        <f t="shared" si="14"/>
        <v>0</v>
      </c>
      <c r="N39" s="43">
        <f t="shared" si="14"/>
        <v>0</v>
      </c>
      <c r="O39" s="43">
        <f t="shared" si="14"/>
        <v>1</v>
      </c>
      <c r="P39" s="43">
        <f t="shared" si="14"/>
        <v>1</v>
      </c>
      <c r="Q39" s="31"/>
      <c r="R39" s="30">
        <f t="shared" si="3"/>
        <v>0</v>
      </c>
      <c r="S39" s="30">
        <f t="shared" si="4"/>
        <v>0</v>
      </c>
      <c r="T39" s="30">
        <f t="shared" si="5"/>
        <v>0</v>
      </c>
      <c r="U39" s="30">
        <f t="shared" si="6"/>
        <v>0</v>
      </c>
      <c r="V39" s="30">
        <f t="shared" si="7"/>
        <v>0</v>
      </c>
      <c r="W39" s="30">
        <f t="shared" si="8"/>
        <v>0</v>
      </c>
      <c r="X39" s="30">
        <f t="shared" si="9"/>
        <v>0</v>
      </c>
      <c r="Y39" s="30">
        <f t="shared" si="10"/>
        <v>0</v>
      </c>
      <c r="Z39" s="30">
        <f t="shared" si="11"/>
        <v>0.43745509655444259</v>
      </c>
      <c r="AA39" s="30">
        <f t="shared" si="12"/>
        <v>0.34031436973707896</v>
      </c>
    </row>
    <row r="40" spans="1:27" ht="20.25">
      <c r="A40" s="13" t="s">
        <v>76</v>
      </c>
      <c r="B40" s="13" t="s">
        <v>103</v>
      </c>
      <c r="C40" s="13">
        <v>3</v>
      </c>
      <c r="D40" s="14">
        <v>10</v>
      </c>
      <c r="E40" s="16">
        <v>16</v>
      </c>
      <c r="F40" s="16">
        <f t="shared" si="1"/>
        <v>201.06192982974676</v>
      </c>
      <c r="G40" s="43">
        <f t="shared" ref="G40:P49" si="15">IF(INT(0.4*G$7/$F40)&gt;=3,INT(0.4*G$7/$F40),IF(INT(0.31*G$7/$F40)&gt;=2,2,IF(0.53*G$7/$F40&gt;=1,1,0)))</f>
        <v>0</v>
      </c>
      <c r="H40" s="43">
        <f t="shared" si="15"/>
        <v>1</v>
      </c>
      <c r="I40" s="43">
        <f t="shared" si="15"/>
        <v>1</v>
      </c>
      <c r="J40" s="43">
        <f t="shared" si="15"/>
        <v>1</v>
      </c>
      <c r="K40" s="43">
        <f t="shared" si="15"/>
        <v>2</v>
      </c>
      <c r="L40" s="43">
        <f t="shared" si="15"/>
        <v>4</v>
      </c>
      <c r="M40" s="43">
        <f t="shared" si="15"/>
        <v>6</v>
      </c>
      <c r="N40" s="43">
        <f t="shared" si="15"/>
        <v>10</v>
      </c>
      <c r="O40" s="43">
        <f t="shared" si="15"/>
        <v>13</v>
      </c>
      <c r="P40" s="43">
        <f t="shared" si="15"/>
        <v>17</v>
      </c>
      <c r="Q40" s="31"/>
      <c r="R40" s="30">
        <f t="shared" si="3"/>
        <v>0</v>
      </c>
      <c r="S40" s="30">
        <f t="shared" si="4"/>
        <v>0.51294833888893787</v>
      </c>
      <c r="T40" s="30">
        <f t="shared" si="5"/>
        <v>0.31628269000898807</v>
      </c>
      <c r="U40" s="30">
        <f t="shared" si="6"/>
        <v>0.18429823658983754</v>
      </c>
      <c r="V40" s="30">
        <f t="shared" si="7"/>
        <v>0.27396777956980528</v>
      </c>
      <c r="W40" s="30">
        <f t="shared" si="8"/>
        <v>0.3371623984508178</v>
      </c>
      <c r="X40" s="30">
        <f t="shared" si="9"/>
        <v>0.35867791321190101</v>
      </c>
      <c r="Y40" s="30">
        <f t="shared" si="10"/>
        <v>0.38855175362892541</v>
      </c>
      <c r="Z40" s="30">
        <f t="shared" si="11"/>
        <v>0.37873323655910118</v>
      </c>
      <c r="AA40" s="30">
        <f t="shared" si="12"/>
        <v>0.38528827708006447</v>
      </c>
    </row>
    <row r="41" spans="1:27" ht="20.25">
      <c r="A41" s="13" t="s">
        <v>76</v>
      </c>
      <c r="B41" s="13" t="s">
        <v>104</v>
      </c>
      <c r="C41" s="13">
        <v>3</v>
      </c>
      <c r="D41" s="14">
        <v>16</v>
      </c>
      <c r="E41" s="16">
        <v>18</v>
      </c>
      <c r="F41" s="16">
        <f t="shared" si="1"/>
        <v>254.46900494077323</v>
      </c>
      <c r="G41" s="43">
        <f t="shared" si="15"/>
        <v>0</v>
      </c>
      <c r="H41" s="43">
        <f t="shared" si="15"/>
        <v>0</v>
      </c>
      <c r="I41" s="43">
        <f t="shared" si="15"/>
        <v>1</v>
      </c>
      <c r="J41" s="43">
        <f t="shared" si="15"/>
        <v>1</v>
      </c>
      <c r="K41" s="43">
        <f t="shared" si="15"/>
        <v>1</v>
      </c>
      <c r="L41" s="43">
        <f t="shared" si="15"/>
        <v>3</v>
      </c>
      <c r="M41" s="43">
        <f t="shared" si="15"/>
        <v>5</v>
      </c>
      <c r="N41" s="43">
        <f t="shared" si="15"/>
        <v>8</v>
      </c>
      <c r="O41" s="43">
        <f t="shared" si="15"/>
        <v>10</v>
      </c>
      <c r="P41" s="43">
        <f t="shared" si="15"/>
        <v>13</v>
      </c>
      <c r="Q41" s="31"/>
      <c r="R41" s="30">
        <f t="shared" si="3"/>
        <v>0</v>
      </c>
      <c r="S41" s="30">
        <f t="shared" si="4"/>
        <v>0</v>
      </c>
      <c r="T41" s="30">
        <f t="shared" si="5"/>
        <v>0.4002952795426255</v>
      </c>
      <c r="U41" s="30">
        <f t="shared" si="6"/>
        <v>0.23325245568401312</v>
      </c>
      <c r="V41" s="30">
        <f t="shared" si="7"/>
        <v>0.1733702355090174</v>
      </c>
      <c r="W41" s="30">
        <f t="shared" si="8"/>
        <v>0.3200408704044872</v>
      </c>
      <c r="X41" s="30">
        <f t="shared" si="9"/>
        <v>0.3782931115906768</v>
      </c>
      <c r="Y41" s="30">
        <f t="shared" si="10"/>
        <v>0.39340865054928698</v>
      </c>
      <c r="Z41" s="30">
        <f t="shared" si="11"/>
        <v>0.36871865578470181</v>
      </c>
      <c r="AA41" s="30">
        <f t="shared" si="12"/>
        <v>0.37289389316664323</v>
      </c>
    </row>
    <row r="42" spans="1:27" ht="20.25">
      <c r="A42" s="13" t="s">
        <v>76</v>
      </c>
      <c r="B42" s="13" t="s">
        <v>105</v>
      </c>
      <c r="C42" s="13">
        <v>3</v>
      </c>
      <c r="D42" s="14">
        <v>25</v>
      </c>
      <c r="E42" s="16">
        <v>22</v>
      </c>
      <c r="F42" s="16">
        <f t="shared" ref="F42:F65" si="16">PI()*E42^2/4</f>
        <v>380.13271108436498</v>
      </c>
      <c r="G42" s="43">
        <f t="shared" si="15"/>
        <v>0</v>
      </c>
      <c r="H42" s="43">
        <f t="shared" si="15"/>
        <v>0</v>
      </c>
      <c r="I42" s="43">
        <f t="shared" si="15"/>
        <v>0</v>
      </c>
      <c r="J42" s="43">
        <f t="shared" si="15"/>
        <v>1</v>
      </c>
      <c r="K42" s="43">
        <f t="shared" si="15"/>
        <v>1</v>
      </c>
      <c r="L42" s="43">
        <f t="shared" si="15"/>
        <v>1</v>
      </c>
      <c r="M42" s="43">
        <f t="shared" si="15"/>
        <v>3</v>
      </c>
      <c r="N42" s="43">
        <f t="shared" si="15"/>
        <v>5</v>
      </c>
      <c r="O42" s="43">
        <f t="shared" si="15"/>
        <v>7</v>
      </c>
      <c r="P42" s="43">
        <f t="shared" si="15"/>
        <v>9</v>
      </c>
      <c r="Q42" s="31"/>
      <c r="R42" s="30">
        <f t="shared" si="3"/>
        <v>0</v>
      </c>
      <c r="S42" s="30">
        <f t="shared" si="4"/>
        <v>0</v>
      </c>
      <c r="T42" s="30">
        <f t="shared" si="5"/>
        <v>0</v>
      </c>
      <c r="U42" s="30">
        <f t="shared" si="6"/>
        <v>0.34843885355266163</v>
      </c>
      <c r="V42" s="30">
        <f t="shared" si="7"/>
        <v>0.25898516662458154</v>
      </c>
      <c r="W42" s="30">
        <f t="shared" si="8"/>
        <v>0.15936191489276935</v>
      </c>
      <c r="X42" s="30">
        <f t="shared" si="9"/>
        <v>0.33906271483312517</v>
      </c>
      <c r="Y42" s="30">
        <f t="shared" si="10"/>
        <v>0.36730282960234356</v>
      </c>
      <c r="Z42" s="30">
        <f t="shared" si="11"/>
        <v>0.38556135981437345</v>
      </c>
      <c r="AA42" s="30">
        <f t="shared" si="12"/>
        <v>0.38564240233473362</v>
      </c>
    </row>
    <row r="43" spans="1:27" ht="20.25">
      <c r="A43" s="13" t="s">
        <v>76</v>
      </c>
      <c r="B43" s="13" t="s">
        <v>106</v>
      </c>
      <c r="C43" s="13">
        <v>3</v>
      </c>
      <c r="D43" s="14">
        <v>35</v>
      </c>
      <c r="E43" s="16">
        <v>24</v>
      </c>
      <c r="F43" s="16">
        <f t="shared" si="16"/>
        <v>452.38934211693021</v>
      </c>
      <c r="G43" s="43">
        <f t="shared" si="15"/>
        <v>0</v>
      </c>
      <c r="H43" s="43">
        <f t="shared" si="15"/>
        <v>0</v>
      </c>
      <c r="I43" s="43">
        <f t="shared" si="15"/>
        <v>0</v>
      </c>
      <c r="J43" s="43">
        <f t="shared" si="15"/>
        <v>1</v>
      </c>
      <c r="K43" s="43">
        <f t="shared" si="15"/>
        <v>1</v>
      </c>
      <c r="L43" s="43">
        <f t="shared" si="15"/>
        <v>1</v>
      </c>
      <c r="M43" s="43">
        <f t="shared" si="15"/>
        <v>2</v>
      </c>
      <c r="N43" s="43">
        <f t="shared" si="15"/>
        <v>4</v>
      </c>
      <c r="O43" s="43">
        <f t="shared" si="15"/>
        <v>6</v>
      </c>
      <c r="P43" s="43">
        <f t="shared" si="15"/>
        <v>7</v>
      </c>
      <c r="Q43" s="31"/>
      <c r="R43" s="30">
        <f t="shared" si="3"/>
        <v>0</v>
      </c>
      <c r="S43" s="30">
        <f t="shared" si="4"/>
        <v>0</v>
      </c>
      <c r="T43" s="30">
        <f t="shared" si="5"/>
        <v>0</v>
      </c>
      <c r="U43" s="30">
        <f t="shared" si="6"/>
        <v>0.41467103232713448</v>
      </c>
      <c r="V43" s="30">
        <f t="shared" si="7"/>
        <v>0.30821375201603091</v>
      </c>
      <c r="W43" s="30">
        <f t="shared" si="8"/>
        <v>0.18965384912858502</v>
      </c>
      <c r="X43" s="30">
        <f t="shared" si="9"/>
        <v>0.26900843490892573</v>
      </c>
      <c r="Y43" s="30">
        <f t="shared" si="10"/>
        <v>0.3496965782660329</v>
      </c>
      <c r="Z43" s="30">
        <f t="shared" si="11"/>
        <v>0.39329989950368199</v>
      </c>
      <c r="AA43" s="30">
        <f t="shared" si="12"/>
        <v>0.35695825670653031</v>
      </c>
    </row>
    <row r="44" spans="1:27" ht="20.25">
      <c r="A44" s="13" t="s">
        <v>76</v>
      </c>
      <c r="B44" s="13" t="s">
        <v>107</v>
      </c>
      <c r="C44" s="13">
        <v>3</v>
      </c>
      <c r="D44" s="14">
        <v>50</v>
      </c>
      <c r="E44" s="16">
        <v>27</v>
      </c>
      <c r="F44" s="16">
        <f t="shared" si="16"/>
        <v>572.55526111673976</v>
      </c>
      <c r="G44" s="43">
        <f t="shared" si="15"/>
        <v>0</v>
      </c>
      <c r="H44" s="43">
        <f t="shared" si="15"/>
        <v>0</v>
      </c>
      <c r="I44" s="43">
        <f t="shared" si="15"/>
        <v>0</v>
      </c>
      <c r="J44" s="43">
        <f t="shared" si="15"/>
        <v>1</v>
      </c>
      <c r="K44" s="43">
        <f t="shared" si="15"/>
        <v>1</v>
      </c>
      <c r="L44" s="43">
        <f t="shared" si="15"/>
        <v>1</v>
      </c>
      <c r="M44" s="43">
        <f t="shared" si="15"/>
        <v>1</v>
      </c>
      <c r="N44" s="43">
        <f t="shared" si="15"/>
        <v>3</v>
      </c>
      <c r="O44" s="43">
        <f t="shared" si="15"/>
        <v>4</v>
      </c>
      <c r="P44" s="43">
        <f t="shared" si="15"/>
        <v>6</v>
      </c>
      <c r="Q44" s="31"/>
      <c r="R44" s="30">
        <f t="shared" si="3"/>
        <v>0</v>
      </c>
      <c r="S44" s="30">
        <f t="shared" si="4"/>
        <v>0</v>
      </c>
      <c r="T44" s="30">
        <f t="shared" si="5"/>
        <v>0</v>
      </c>
      <c r="U44" s="30">
        <f t="shared" si="6"/>
        <v>0.52481802528902954</v>
      </c>
      <c r="V44" s="30">
        <f t="shared" si="7"/>
        <v>0.39008302989528909</v>
      </c>
      <c r="W44" s="30">
        <f t="shared" si="8"/>
        <v>0.24003065280336539</v>
      </c>
      <c r="X44" s="30">
        <f t="shared" si="9"/>
        <v>0.17023190021580456</v>
      </c>
      <c r="Y44" s="30">
        <f t="shared" si="10"/>
        <v>0.33193854890096086</v>
      </c>
      <c r="Z44" s="30">
        <f t="shared" si="11"/>
        <v>0.33184679020623165</v>
      </c>
      <c r="AA44" s="30">
        <f t="shared" si="12"/>
        <v>0.38723596598074489</v>
      </c>
    </row>
    <row r="45" spans="1:27" ht="20.25">
      <c r="A45" s="13" t="s">
        <v>76</v>
      </c>
      <c r="B45" s="13" t="s">
        <v>108</v>
      </c>
      <c r="C45" s="13">
        <v>3</v>
      </c>
      <c r="D45" s="14">
        <v>70</v>
      </c>
      <c r="E45" s="16">
        <v>32</v>
      </c>
      <c r="F45" s="16">
        <f t="shared" si="16"/>
        <v>804.24771931898704</v>
      </c>
      <c r="G45" s="43">
        <f t="shared" si="15"/>
        <v>0</v>
      </c>
      <c r="H45" s="43">
        <f t="shared" si="15"/>
        <v>0</v>
      </c>
      <c r="I45" s="43">
        <f t="shared" si="15"/>
        <v>0</v>
      </c>
      <c r="J45" s="43">
        <f t="shared" si="15"/>
        <v>0</v>
      </c>
      <c r="K45" s="43">
        <f t="shared" si="15"/>
        <v>0</v>
      </c>
      <c r="L45" s="43">
        <f t="shared" si="15"/>
        <v>1</v>
      </c>
      <c r="M45" s="43">
        <f t="shared" si="15"/>
        <v>1</v>
      </c>
      <c r="N45" s="43">
        <f t="shared" si="15"/>
        <v>1</v>
      </c>
      <c r="O45" s="43">
        <f t="shared" si="15"/>
        <v>3</v>
      </c>
      <c r="P45" s="43">
        <f t="shared" si="15"/>
        <v>4</v>
      </c>
      <c r="Q45" s="31"/>
      <c r="R45" s="30">
        <f t="shared" si="3"/>
        <v>0</v>
      </c>
      <c r="S45" s="30">
        <f t="shared" si="4"/>
        <v>0</v>
      </c>
      <c r="T45" s="30">
        <f t="shared" si="5"/>
        <v>0</v>
      </c>
      <c r="U45" s="30">
        <f t="shared" si="6"/>
        <v>0</v>
      </c>
      <c r="V45" s="30">
        <f t="shared" si="7"/>
        <v>0</v>
      </c>
      <c r="W45" s="30">
        <f t="shared" si="8"/>
        <v>0.3371623984508178</v>
      </c>
      <c r="X45" s="30">
        <f t="shared" si="9"/>
        <v>0.23911860880793401</v>
      </c>
      <c r="Y45" s="30">
        <f t="shared" si="10"/>
        <v>0.15542070145157016</v>
      </c>
      <c r="Z45" s="30">
        <f t="shared" si="11"/>
        <v>0.34959991066993956</v>
      </c>
      <c r="AA45" s="30">
        <f t="shared" si="12"/>
        <v>0.36262426078123711</v>
      </c>
    </row>
    <row r="46" spans="1:27" ht="20.25">
      <c r="A46" s="13" t="s">
        <v>76</v>
      </c>
      <c r="B46" s="13" t="s">
        <v>109</v>
      </c>
      <c r="C46" s="13">
        <v>3</v>
      </c>
      <c r="D46" s="14">
        <v>95</v>
      </c>
      <c r="E46" s="16">
        <v>36</v>
      </c>
      <c r="F46" s="16">
        <f t="shared" si="16"/>
        <v>1017.8760197630929</v>
      </c>
      <c r="G46" s="43">
        <f t="shared" si="15"/>
        <v>0</v>
      </c>
      <c r="H46" s="43">
        <f t="shared" si="15"/>
        <v>0</v>
      </c>
      <c r="I46" s="43">
        <f t="shared" si="15"/>
        <v>0</v>
      </c>
      <c r="J46" s="43">
        <f t="shared" si="15"/>
        <v>0</v>
      </c>
      <c r="K46" s="43">
        <f t="shared" si="15"/>
        <v>0</v>
      </c>
      <c r="L46" s="43">
        <f t="shared" si="15"/>
        <v>1</v>
      </c>
      <c r="M46" s="43">
        <f t="shared" si="15"/>
        <v>1</v>
      </c>
      <c r="N46" s="43">
        <f t="shared" si="15"/>
        <v>1</v>
      </c>
      <c r="O46" s="43">
        <f t="shared" si="15"/>
        <v>2</v>
      </c>
      <c r="P46" s="43">
        <f t="shared" si="15"/>
        <v>3</v>
      </c>
      <c r="Q46" s="31"/>
      <c r="R46" s="30">
        <f t="shared" si="3"/>
        <v>0</v>
      </c>
      <c r="S46" s="30">
        <f t="shared" si="4"/>
        <v>0</v>
      </c>
      <c r="T46" s="30">
        <f t="shared" si="5"/>
        <v>0</v>
      </c>
      <c r="U46" s="30">
        <f t="shared" si="6"/>
        <v>0</v>
      </c>
      <c r="V46" s="30">
        <f t="shared" si="7"/>
        <v>0</v>
      </c>
      <c r="W46" s="30">
        <f t="shared" si="8"/>
        <v>0.42672116053931625</v>
      </c>
      <c r="X46" s="30">
        <f t="shared" si="9"/>
        <v>0.30263448927254144</v>
      </c>
      <c r="Y46" s="30">
        <f t="shared" si="10"/>
        <v>0.19670432527464349</v>
      </c>
      <c r="Z46" s="30">
        <f t="shared" si="11"/>
        <v>0.29497492462776148</v>
      </c>
      <c r="AA46" s="30">
        <f t="shared" si="12"/>
        <v>0.34420974753843991</v>
      </c>
    </row>
    <row r="47" spans="1:27" ht="20.25">
      <c r="A47" s="13" t="s">
        <v>76</v>
      </c>
      <c r="B47" s="13" t="s">
        <v>110</v>
      </c>
      <c r="C47" s="13">
        <v>3</v>
      </c>
      <c r="D47" s="14">
        <v>120</v>
      </c>
      <c r="E47" s="16">
        <v>39</v>
      </c>
      <c r="F47" s="16">
        <f t="shared" si="16"/>
        <v>1194.5906065275187</v>
      </c>
      <c r="G47" s="43">
        <f t="shared" si="15"/>
        <v>0</v>
      </c>
      <c r="H47" s="43">
        <f t="shared" si="15"/>
        <v>0</v>
      </c>
      <c r="I47" s="43">
        <f t="shared" si="15"/>
        <v>0</v>
      </c>
      <c r="J47" s="43">
        <f t="shared" si="15"/>
        <v>0</v>
      </c>
      <c r="K47" s="43">
        <f t="shared" si="15"/>
        <v>0</v>
      </c>
      <c r="L47" s="43">
        <f t="shared" si="15"/>
        <v>1</v>
      </c>
      <c r="M47" s="43">
        <f t="shared" si="15"/>
        <v>1</v>
      </c>
      <c r="N47" s="43">
        <f t="shared" si="15"/>
        <v>1</v>
      </c>
      <c r="O47" s="43">
        <f t="shared" si="15"/>
        <v>1</v>
      </c>
      <c r="P47" s="43">
        <f t="shared" si="15"/>
        <v>2</v>
      </c>
      <c r="Q47" s="31"/>
      <c r="R47" s="30">
        <f t="shared" si="3"/>
        <v>0</v>
      </c>
      <c r="S47" s="30">
        <f t="shared" si="4"/>
        <v>0</v>
      </c>
      <c r="T47" s="30">
        <f t="shared" si="5"/>
        <v>0</v>
      </c>
      <c r="U47" s="30">
        <f t="shared" si="6"/>
        <v>0</v>
      </c>
      <c r="V47" s="30">
        <f t="shared" si="7"/>
        <v>0</v>
      </c>
      <c r="W47" s="30">
        <f t="shared" si="8"/>
        <v>0.5008046953551698</v>
      </c>
      <c r="X47" s="30">
        <f t="shared" si="9"/>
        <v>0.35517519921569102</v>
      </c>
      <c r="Y47" s="30">
        <f t="shared" si="10"/>
        <v>0.23085438174593575</v>
      </c>
      <c r="Z47" s="30">
        <f t="shared" si="11"/>
        <v>0.17309292452115169</v>
      </c>
      <c r="AA47" s="30">
        <f t="shared" si="12"/>
        <v>0.26931225617590898</v>
      </c>
    </row>
    <row r="48" spans="1:27" ht="20.25">
      <c r="A48" s="13" t="s">
        <v>76</v>
      </c>
      <c r="B48" s="13" t="s">
        <v>111</v>
      </c>
      <c r="C48" s="13">
        <v>3</v>
      </c>
      <c r="D48" s="14">
        <v>150</v>
      </c>
      <c r="E48" s="16">
        <v>43</v>
      </c>
      <c r="F48" s="16">
        <f t="shared" si="16"/>
        <v>1452.2012041218818</v>
      </c>
      <c r="G48" s="43">
        <f t="shared" si="15"/>
        <v>0</v>
      </c>
      <c r="H48" s="43">
        <f t="shared" si="15"/>
        <v>0</v>
      </c>
      <c r="I48" s="43">
        <f t="shared" si="15"/>
        <v>0</v>
      </c>
      <c r="J48" s="43">
        <f t="shared" si="15"/>
        <v>0</v>
      </c>
      <c r="K48" s="43">
        <f t="shared" si="15"/>
        <v>0</v>
      </c>
      <c r="L48" s="43">
        <f t="shared" si="15"/>
        <v>0</v>
      </c>
      <c r="M48" s="43">
        <f t="shared" si="15"/>
        <v>1</v>
      </c>
      <c r="N48" s="43">
        <f t="shared" si="15"/>
        <v>1</v>
      </c>
      <c r="O48" s="43">
        <f t="shared" si="15"/>
        <v>1</v>
      </c>
      <c r="P48" s="43">
        <f t="shared" si="15"/>
        <v>1</v>
      </c>
      <c r="Q48" s="31"/>
      <c r="R48" s="30">
        <f t="shared" si="3"/>
        <v>0</v>
      </c>
      <c r="S48" s="30">
        <f t="shared" si="4"/>
        <v>0</v>
      </c>
      <c r="T48" s="30">
        <f t="shared" si="5"/>
        <v>0</v>
      </c>
      <c r="U48" s="30">
        <f t="shared" si="6"/>
        <v>0</v>
      </c>
      <c r="V48" s="30">
        <f t="shared" si="7"/>
        <v>0</v>
      </c>
      <c r="W48" s="30">
        <f t="shared" si="8"/>
        <v>0</v>
      </c>
      <c r="X48" s="30">
        <f t="shared" si="9"/>
        <v>0.43176787859948235</v>
      </c>
      <c r="Y48" s="30">
        <f t="shared" si="10"/>
        <v>0.28063757517964183</v>
      </c>
      <c r="Z48" s="30">
        <f t="shared" si="11"/>
        <v>0.21041999831664004</v>
      </c>
      <c r="AA48" s="30">
        <f t="shared" si="12"/>
        <v>0.16369439897082699</v>
      </c>
    </row>
    <row r="49" spans="1:27" ht="20.25">
      <c r="A49" s="13" t="s">
        <v>76</v>
      </c>
      <c r="B49" s="13" t="s">
        <v>112</v>
      </c>
      <c r="C49" s="13">
        <v>3</v>
      </c>
      <c r="D49" s="14">
        <v>185</v>
      </c>
      <c r="E49" s="16">
        <v>48</v>
      </c>
      <c r="F49" s="16">
        <f t="shared" si="16"/>
        <v>1809.5573684677208</v>
      </c>
      <c r="G49" s="43">
        <f t="shared" si="15"/>
        <v>0</v>
      </c>
      <c r="H49" s="43">
        <f t="shared" si="15"/>
        <v>0</v>
      </c>
      <c r="I49" s="43">
        <f t="shared" si="15"/>
        <v>0</v>
      </c>
      <c r="J49" s="43">
        <f t="shared" si="15"/>
        <v>0</v>
      </c>
      <c r="K49" s="43">
        <f t="shared" si="15"/>
        <v>0</v>
      </c>
      <c r="L49" s="43">
        <f t="shared" si="15"/>
        <v>0</v>
      </c>
      <c r="M49" s="43">
        <f t="shared" si="15"/>
        <v>0</v>
      </c>
      <c r="N49" s="43">
        <f t="shared" si="15"/>
        <v>1</v>
      </c>
      <c r="O49" s="43">
        <f t="shared" si="15"/>
        <v>1</v>
      </c>
      <c r="P49" s="43">
        <f t="shared" si="15"/>
        <v>1</v>
      </c>
      <c r="Q49" s="31"/>
      <c r="R49" s="30">
        <f t="shared" si="3"/>
        <v>0</v>
      </c>
      <c r="S49" s="30">
        <f t="shared" si="4"/>
        <v>0</v>
      </c>
      <c r="T49" s="30">
        <f t="shared" si="5"/>
        <v>0</v>
      </c>
      <c r="U49" s="30">
        <f t="shared" si="6"/>
        <v>0</v>
      </c>
      <c r="V49" s="30">
        <f t="shared" si="7"/>
        <v>0</v>
      </c>
      <c r="W49" s="30">
        <f t="shared" si="8"/>
        <v>0</v>
      </c>
      <c r="X49" s="30">
        <f t="shared" si="9"/>
        <v>0</v>
      </c>
      <c r="Y49" s="30">
        <f t="shared" si="10"/>
        <v>0.3496965782660329</v>
      </c>
      <c r="Z49" s="30">
        <f t="shared" si="11"/>
        <v>0.26219993300245464</v>
      </c>
      <c r="AA49" s="30">
        <f t="shared" si="12"/>
        <v>0.20397614668944589</v>
      </c>
    </row>
    <row r="50" spans="1:27" ht="20.25">
      <c r="A50" s="13" t="s">
        <v>76</v>
      </c>
      <c r="B50" s="13" t="s">
        <v>113</v>
      </c>
      <c r="C50" s="13">
        <v>3</v>
      </c>
      <c r="D50" s="14">
        <v>240</v>
      </c>
      <c r="E50" s="16">
        <v>54</v>
      </c>
      <c r="F50" s="16">
        <f t="shared" si="16"/>
        <v>2290.221044466959</v>
      </c>
      <c r="G50" s="43">
        <f t="shared" ref="G50:P59" si="17">IF(INT(0.4*G$7/$F50)&gt;=3,INT(0.4*G$7/$F50),IF(INT(0.31*G$7/$F50)&gt;=2,2,IF(0.53*G$7/$F50&gt;=1,1,0)))</f>
        <v>0</v>
      </c>
      <c r="H50" s="43">
        <f t="shared" si="17"/>
        <v>0</v>
      </c>
      <c r="I50" s="43">
        <f t="shared" si="17"/>
        <v>0</v>
      </c>
      <c r="J50" s="43">
        <f t="shared" si="17"/>
        <v>0</v>
      </c>
      <c r="K50" s="43">
        <f t="shared" si="17"/>
        <v>0</v>
      </c>
      <c r="L50" s="43">
        <f t="shared" si="17"/>
        <v>0</v>
      </c>
      <c r="M50" s="43">
        <f t="shared" si="17"/>
        <v>0</v>
      </c>
      <c r="N50" s="43">
        <f t="shared" si="17"/>
        <v>1</v>
      </c>
      <c r="O50" s="43">
        <f t="shared" si="17"/>
        <v>1</v>
      </c>
      <c r="P50" s="43">
        <f t="shared" si="17"/>
        <v>1</v>
      </c>
      <c r="Q50" s="31"/>
      <c r="R50" s="30">
        <f t="shared" si="3"/>
        <v>0</v>
      </c>
      <c r="S50" s="30">
        <f t="shared" si="4"/>
        <v>0</v>
      </c>
      <c r="T50" s="30">
        <f t="shared" si="5"/>
        <v>0</v>
      </c>
      <c r="U50" s="30">
        <f t="shared" si="6"/>
        <v>0</v>
      </c>
      <c r="V50" s="30">
        <f t="shared" si="7"/>
        <v>0</v>
      </c>
      <c r="W50" s="30">
        <f t="shared" si="8"/>
        <v>0</v>
      </c>
      <c r="X50" s="30">
        <f t="shared" si="9"/>
        <v>0</v>
      </c>
      <c r="Y50" s="30">
        <f t="shared" si="10"/>
        <v>0.44258473186794783</v>
      </c>
      <c r="Z50" s="30">
        <f t="shared" si="11"/>
        <v>0.33184679020623165</v>
      </c>
      <c r="AA50" s="30">
        <f t="shared" si="12"/>
        <v>0.25815731065382991</v>
      </c>
    </row>
    <row r="51" spans="1:27" ht="20.25">
      <c r="A51" s="13" t="s">
        <v>76</v>
      </c>
      <c r="B51" s="13" t="s">
        <v>114</v>
      </c>
      <c r="C51" s="13">
        <v>3</v>
      </c>
      <c r="D51" s="14">
        <v>300</v>
      </c>
      <c r="E51" s="16">
        <v>59</v>
      </c>
      <c r="F51" s="16">
        <f t="shared" si="16"/>
        <v>2733.9710067865176</v>
      </c>
      <c r="G51" s="43">
        <f t="shared" si="17"/>
        <v>0</v>
      </c>
      <c r="H51" s="43">
        <f t="shared" si="17"/>
        <v>0</v>
      </c>
      <c r="I51" s="43">
        <f t="shared" si="17"/>
        <v>0</v>
      </c>
      <c r="J51" s="43">
        <f t="shared" si="17"/>
        <v>0</v>
      </c>
      <c r="K51" s="43">
        <f t="shared" si="17"/>
        <v>0</v>
      </c>
      <c r="L51" s="43">
        <f t="shared" si="17"/>
        <v>0</v>
      </c>
      <c r="M51" s="43">
        <f t="shared" si="17"/>
        <v>0</v>
      </c>
      <c r="N51" s="43">
        <f t="shared" si="17"/>
        <v>1</v>
      </c>
      <c r="O51" s="43">
        <f t="shared" si="17"/>
        <v>1</v>
      </c>
      <c r="P51" s="43">
        <f t="shared" si="17"/>
        <v>1</v>
      </c>
      <c r="Q51" s="31"/>
      <c r="R51" s="30">
        <f t="shared" si="3"/>
        <v>0</v>
      </c>
      <c r="S51" s="30">
        <f t="shared" si="4"/>
        <v>0</v>
      </c>
      <c r="T51" s="30">
        <f t="shared" si="5"/>
        <v>0</v>
      </c>
      <c r="U51" s="30">
        <f t="shared" si="6"/>
        <v>0</v>
      </c>
      <c r="V51" s="30">
        <f t="shared" si="7"/>
        <v>0</v>
      </c>
      <c r="W51" s="30">
        <f t="shared" si="8"/>
        <v>0</v>
      </c>
      <c r="X51" s="30">
        <f t="shared" si="9"/>
        <v>0</v>
      </c>
      <c r="Y51" s="30">
        <f t="shared" si="10"/>
        <v>0.52833931811808177</v>
      </c>
      <c r="Z51" s="30">
        <f t="shared" si="11"/>
        <v>0.39614495086004542</v>
      </c>
      <c r="AA51" s="30">
        <f t="shared" si="12"/>
        <v>0.30817750287585116</v>
      </c>
    </row>
    <row r="52" spans="1:27" ht="20.25">
      <c r="A52" s="13" t="s">
        <v>76</v>
      </c>
      <c r="B52" s="13" t="s">
        <v>115</v>
      </c>
      <c r="C52" s="13">
        <v>3</v>
      </c>
      <c r="D52" s="14">
        <v>400</v>
      </c>
      <c r="E52" s="16">
        <v>66</v>
      </c>
      <c r="F52" s="16">
        <f t="shared" si="16"/>
        <v>3421.1943997592848</v>
      </c>
      <c r="G52" s="43">
        <f t="shared" si="17"/>
        <v>0</v>
      </c>
      <c r="H52" s="43">
        <f t="shared" si="17"/>
        <v>0</v>
      </c>
      <c r="I52" s="43">
        <f t="shared" si="17"/>
        <v>0</v>
      </c>
      <c r="J52" s="43">
        <f t="shared" si="17"/>
        <v>0</v>
      </c>
      <c r="K52" s="43">
        <f t="shared" si="17"/>
        <v>0</v>
      </c>
      <c r="L52" s="43">
        <f t="shared" si="17"/>
        <v>0</v>
      </c>
      <c r="M52" s="43">
        <f t="shared" si="17"/>
        <v>0</v>
      </c>
      <c r="N52" s="43">
        <f t="shared" si="17"/>
        <v>0</v>
      </c>
      <c r="O52" s="43">
        <f t="shared" si="17"/>
        <v>1</v>
      </c>
      <c r="P52" s="43">
        <f t="shared" si="17"/>
        <v>1</v>
      </c>
      <c r="Q52" s="31"/>
      <c r="R52" s="30">
        <f t="shared" si="3"/>
        <v>0</v>
      </c>
      <c r="S52" s="30">
        <f t="shared" si="4"/>
        <v>0</v>
      </c>
      <c r="T52" s="30">
        <f t="shared" si="5"/>
        <v>0</v>
      </c>
      <c r="U52" s="30">
        <f t="shared" si="6"/>
        <v>0</v>
      </c>
      <c r="V52" s="30">
        <f t="shared" si="7"/>
        <v>0</v>
      </c>
      <c r="W52" s="30">
        <f t="shared" si="8"/>
        <v>0</v>
      </c>
      <c r="X52" s="30">
        <f t="shared" si="9"/>
        <v>0</v>
      </c>
      <c r="Y52" s="30">
        <f t="shared" si="10"/>
        <v>0</v>
      </c>
      <c r="Z52" s="30">
        <f t="shared" si="11"/>
        <v>0.49572174833276583</v>
      </c>
      <c r="AA52" s="30">
        <f t="shared" si="12"/>
        <v>0.38564240233473362</v>
      </c>
    </row>
    <row r="53" spans="1:27" ht="20.25">
      <c r="A53" s="13" t="s">
        <v>76</v>
      </c>
      <c r="B53" s="13" t="s">
        <v>116</v>
      </c>
      <c r="C53" s="13">
        <v>4</v>
      </c>
      <c r="D53" s="14">
        <v>10</v>
      </c>
      <c r="E53" s="16">
        <v>18</v>
      </c>
      <c r="F53" s="16">
        <f t="shared" si="16"/>
        <v>254.46900494077323</v>
      </c>
      <c r="G53" s="43">
        <f t="shared" si="17"/>
        <v>0</v>
      </c>
      <c r="H53" s="43">
        <f t="shared" si="17"/>
        <v>0</v>
      </c>
      <c r="I53" s="43">
        <f t="shared" si="17"/>
        <v>1</v>
      </c>
      <c r="J53" s="43">
        <f t="shared" si="17"/>
        <v>1</v>
      </c>
      <c r="K53" s="43">
        <f t="shared" si="17"/>
        <v>1</v>
      </c>
      <c r="L53" s="43">
        <f t="shared" si="17"/>
        <v>3</v>
      </c>
      <c r="M53" s="43">
        <f t="shared" si="17"/>
        <v>5</v>
      </c>
      <c r="N53" s="43">
        <f t="shared" si="17"/>
        <v>8</v>
      </c>
      <c r="O53" s="43">
        <f t="shared" si="17"/>
        <v>10</v>
      </c>
      <c r="P53" s="43">
        <f t="shared" si="17"/>
        <v>13</v>
      </c>
      <c r="Q53" s="31"/>
      <c r="R53" s="30">
        <f t="shared" si="3"/>
        <v>0</v>
      </c>
      <c r="S53" s="30">
        <f t="shared" si="4"/>
        <v>0</v>
      </c>
      <c r="T53" s="30">
        <f t="shared" si="5"/>
        <v>0.4002952795426255</v>
      </c>
      <c r="U53" s="30">
        <f t="shared" si="6"/>
        <v>0.23325245568401312</v>
      </c>
      <c r="V53" s="30">
        <f t="shared" si="7"/>
        <v>0.1733702355090174</v>
      </c>
      <c r="W53" s="30">
        <f t="shared" si="8"/>
        <v>0.3200408704044872</v>
      </c>
      <c r="X53" s="30">
        <f t="shared" si="9"/>
        <v>0.3782931115906768</v>
      </c>
      <c r="Y53" s="30">
        <f t="shared" si="10"/>
        <v>0.39340865054928698</v>
      </c>
      <c r="Z53" s="30">
        <f t="shared" si="11"/>
        <v>0.36871865578470181</v>
      </c>
      <c r="AA53" s="30">
        <f t="shared" si="12"/>
        <v>0.37289389316664323</v>
      </c>
    </row>
    <row r="54" spans="1:27" ht="20.25">
      <c r="A54" s="13" t="s">
        <v>76</v>
      </c>
      <c r="B54" s="13" t="s">
        <v>117</v>
      </c>
      <c r="C54" s="13">
        <v>4</v>
      </c>
      <c r="D54" s="14">
        <v>16</v>
      </c>
      <c r="E54" s="16">
        <v>20</v>
      </c>
      <c r="F54" s="16">
        <f t="shared" si="16"/>
        <v>314.15926535897933</v>
      </c>
      <c r="G54" s="43">
        <f t="shared" si="17"/>
        <v>0</v>
      </c>
      <c r="H54" s="43">
        <f t="shared" si="17"/>
        <v>0</v>
      </c>
      <c r="I54" s="43">
        <f t="shared" si="17"/>
        <v>1</v>
      </c>
      <c r="J54" s="43">
        <f t="shared" si="17"/>
        <v>1</v>
      </c>
      <c r="K54" s="43">
        <f t="shared" si="17"/>
        <v>1</v>
      </c>
      <c r="L54" s="43">
        <f t="shared" si="17"/>
        <v>3</v>
      </c>
      <c r="M54" s="43">
        <f t="shared" si="17"/>
        <v>4</v>
      </c>
      <c r="N54" s="43">
        <f t="shared" si="17"/>
        <v>6</v>
      </c>
      <c r="O54" s="43">
        <f t="shared" si="17"/>
        <v>8</v>
      </c>
      <c r="P54" s="43">
        <f t="shared" si="17"/>
        <v>11</v>
      </c>
      <c r="Q54" s="31"/>
      <c r="R54" s="30">
        <f t="shared" si="3"/>
        <v>0</v>
      </c>
      <c r="S54" s="30">
        <f t="shared" si="4"/>
        <v>0</v>
      </c>
      <c r="T54" s="30">
        <f t="shared" si="5"/>
        <v>0.49419170313904387</v>
      </c>
      <c r="U54" s="30">
        <f t="shared" si="6"/>
        <v>0.28796599467162115</v>
      </c>
      <c r="V54" s="30">
        <f t="shared" si="7"/>
        <v>0.21403732778891038</v>
      </c>
      <c r="W54" s="30">
        <f t="shared" si="8"/>
        <v>0.39511218568455209</v>
      </c>
      <c r="X54" s="30">
        <f t="shared" si="9"/>
        <v>0.3736228262623969</v>
      </c>
      <c r="Y54" s="30">
        <f t="shared" si="10"/>
        <v>0.36426726902711759</v>
      </c>
      <c r="Z54" s="30">
        <f t="shared" si="11"/>
        <v>0.36416657361452037</v>
      </c>
      <c r="AA54" s="30">
        <f t="shared" si="12"/>
        <v>0.38953778013609458</v>
      </c>
    </row>
    <row r="55" spans="1:27" ht="20.25">
      <c r="A55" s="13" t="s">
        <v>76</v>
      </c>
      <c r="B55" s="13" t="s">
        <v>118</v>
      </c>
      <c r="C55" s="13">
        <v>4</v>
      </c>
      <c r="D55" s="14">
        <v>25</v>
      </c>
      <c r="E55" s="16">
        <v>24</v>
      </c>
      <c r="F55" s="16">
        <f t="shared" si="16"/>
        <v>452.38934211693021</v>
      </c>
      <c r="G55" s="43">
        <f t="shared" si="17"/>
        <v>0</v>
      </c>
      <c r="H55" s="43">
        <f t="shared" si="17"/>
        <v>0</v>
      </c>
      <c r="I55" s="43">
        <f t="shared" si="17"/>
        <v>0</v>
      </c>
      <c r="J55" s="43">
        <f t="shared" si="17"/>
        <v>1</v>
      </c>
      <c r="K55" s="43">
        <f t="shared" si="17"/>
        <v>1</v>
      </c>
      <c r="L55" s="43">
        <f t="shared" si="17"/>
        <v>1</v>
      </c>
      <c r="M55" s="43">
        <f t="shared" si="17"/>
        <v>2</v>
      </c>
      <c r="N55" s="43">
        <f t="shared" si="17"/>
        <v>4</v>
      </c>
      <c r="O55" s="43">
        <f t="shared" si="17"/>
        <v>6</v>
      </c>
      <c r="P55" s="43">
        <f t="shared" si="17"/>
        <v>7</v>
      </c>
      <c r="Q55" s="31"/>
      <c r="R55" s="30">
        <f t="shared" si="3"/>
        <v>0</v>
      </c>
      <c r="S55" s="30">
        <f t="shared" si="4"/>
        <v>0</v>
      </c>
      <c r="T55" s="30">
        <f t="shared" si="5"/>
        <v>0</v>
      </c>
      <c r="U55" s="30">
        <f t="shared" si="6"/>
        <v>0.41467103232713448</v>
      </c>
      <c r="V55" s="30">
        <f t="shared" si="7"/>
        <v>0.30821375201603091</v>
      </c>
      <c r="W55" s="30">
        <f t="shared" si="8"/>
        <v>0.18965384912858502</v>
      </c>
      <c r="X55" s="30">
        <f t="shared" si="9"/>
        <v>0.26900843490892573</v>
      </c>
      <c r="Y55" s="30">
        <f t="shared" si="10"/>
        <v>0.3496965782660329</v>
      </c>
      <c r="Z55" s="30">
        <f t="shared" si="11"/>
        <v>0.39329989950368199</v>
      </c>
      <c r="AA55" s="30">
        <f t="shared" si="12"/>
        <v>0.35695825670653031</v>
      </c>
    </row>
    <row r="56" spans="1:27" ht="20.25">
      <c r="A56" s="13" t="s">
        <v>76</v>
      </c>
      <c r="B56" s="13" t="s">
        <v>119</v>
      </c>
      <c r="C56" s="13">
        <v>4</v>
      </c>
      <c r="D56" s="14">
        <v>35</v>
      </c>
      <c r="E56" s="16">
        <v>27</v>
      </c>
      <c r="F56" s="16">
        <f t="shared" si="16"/>
        <v>572.55526111673976</v>
      </c>
      <c r="G56" s="43">
        <f t="shared" si="17"/>
        <v>0</v>
      </c>
      <c r="H56" s="43">
        <f t="shared" si="17"/>
        <v>0</v>
      </c>
      <c r="I56" s="43">
        <f t="shared" si="17"/>
        <v>0</v>
      </c>
      <c r="J56" s="43">
        <f t="shared" si="17"/>
        <v>1</v>
      </c>
      <c r="K56" s="43">
        <f t="shared" si="17"/>
        <v>1</v>
      </c>
      <c r="L56" s="43">
        <f t="shared" si="17"/>
        <v>1</v>
      </c>
      <c r="M56" s="43">
        <f t="shared" si="17"/>
        <v>1</v>
      </c>
      <c r="N56" s="43">
        <f t="shared" si="17"/>
        <v>3</v>
      </c>
      <c r="O56" s="43">
        <f t="shared" si="17"/>
        <v>4</v>
      </c>
      <c r="P56" s="43">
        <f t="shared" si="17"/>
        <v>6</v>
      </c>
      <c r="Q56" s="31"/>
      <c r="R56" s="30">
        <f t="shared" si="3"/>
        <v>0</v>
      </c>
      <c r="S56" s="30">
        <f t="shared" si="4"/>
        <v>0</v>
      </c>
      <c r="T56" s="30">
        <f t="shared" si="5"/>
        <v>0</v>
      </c>
      <c r="U56" s="30">
        <f t="shared" si="6"/>
        <v>0.52481802528902954</v>
      </c>
      <c r="V56" s="30">
        <f t="shared" si="7"/>
        <v>0.39008302989528909</v>
      </c>
      <c r="W56" s="30">
        <f t="shared" si="8"/>
        <v>0.24003065280336539</v>
      </c>
      <c r="X56" s="30">
        <f t="shared" si="9"/>
        <v>0.17023190021580456</v>
      </c>
      <c r="Y56" s="30">
        <f t="shared" si="10"/>
        <v>0.33193854890096086</v>
      </c>
      <c r="Z56" s="30">
        <f t="shared" si="11"/>
        <v>0.33184679020623165</v>
      </c>
      <c r="AA56" s="30">
        <f t="shared" si="12"/>
        <v>0.38723596598074489</v>
      </c>
    </row>
    <row r="57" spans="1:27" ht="20.25">
      <c r="A57" s="13" t="s">
        <v>76</v>
      </c>
      <c r="B57" s="13" t="s">
        <v>120</v>
      </c>
      <c r="C57" s="13">
        <v>4</v>
      </c>
      <c r="D57" s="14">
        <v>50</v>
      </c>
      <c r="E57" s="16">
        <v>30</v>
      </c>
      <c r="F57" s="16">
        <f t="shared" si="16"/>
        <v>706.85834705770344</v>
      </c>
      <c r="G57" s="43">
        <f t="shared" si="17"/>
        <v>0</v>
      </c>
      <c r="H57" s="43">
        <f t="shared" si="17"/>
        <v>0</v>
      </c>
      <c r="I57" s="43">
        <f t="shared" si="17"/>
        <v>0</v>
      </c>
      <c r="J57" s="43">
        <f t="shared" si="17"/>
        <v>0</v>
      </c>
      <c r="K57" s="43">
        <f t="shared" si="17"/>
        <v>1</v>
      </c>
      <c r="L57" s="43">
        <f t="shared" si="17"/>
        <v>1</v>
      </c>
      <c r="M57" s="43">
        <f t="shared" si="17"/>
        <v>1</v>
      </c>
      <c r="N57" s="43">
        <f t="shared" si="17"/>
        <v>2</v>
      </c>
      <c r="O57" s="43">
        <f t="shared" si="17"/>
        <v>3</v>
      </c>
      <c r="P57" s="43">
        <f t="shared" si="17"/>
        <v>5</v>
      </c>
      <c r="Q57" s="31"/>
      <c r="R57" s="30">
        <f t="shared" si="3"/>
        <v>0</v>
      </c>
      <c r="S57" s="30">
        <f t="shared" si="4"/>
        <v>0</v>
      </c>
      <c r="T57" s="30">
        <f t="shared" si="5"/>
        <v>0</v>
      </c>
      <c r="U57" s="30">
        <f t="shared" si="6"/>
        <v>0</v>
      </c>
      <c r="V57" s="30">
        <f t="shared" si="7"/>
        <v>0.48158398752504833</v>
      </c>
      <c r="W57" s="30">
        <f t="shared" si="8"/>
        <v>0.29633413926341406</v>
      </c>
      <c r="X57" s="30">
        <f t="shared" si="9"/>
        <v>0.21016283977259823</v>
      </c>
      <c r="Y57" s="30">
        <f t="shared" si="10"/>
        <v>0.27320045177033819</v>
      </c>
      <c r="Z57" s="30">
        <f t="shared" si="11"/>
        <v>0.30726554648725157</v>
      </c>
      <c r="AA57" s="30">
        <f t="shared" si="12"/>
        <v>0.39839091150282396</v>
      </c>
    </row>
    <row r="58" spans="1:27" ht="20.25">
      <c r="A58" s="13" t="s">
        <v>76</v>
      </c>
      <c r="B58" s="13" t="s">
        <v>121</v>
      </c>
      <c r="C58" s="13">
        <v>4</v>
      </c>
      <c r="D58" s="14">
        <v>70</v>
      </c>
      <c r="E58" s="16">
        <v>35</v>
      </c>
      <c r="F58" s="16">
        <f t="shared" si="16"/>
        <v>962.11275016187415</v>
      </c>
      <c r="G58" s="43">
        <f t="shared" si="17"/>
        <v>0</v>
      </c>
      <c r="H58" s="43">
        <f t="shared" si="17"/>
        <v>0</v>
      </c>
      <c r="I58" s="43">
        <f t="shared" si="17"/>
        <v>0</v>
      </c>
      <c r="J58" s="43">
        <f t="shared" si="17"/>
        <v>0</v>
      </c>
      <c r="K58" s="43">
        <f t="shared" si="17"/>
        <v>0</v>
      </c>
      <c r="L58" s="43">
        <f t="shared" si="17"/>
        <v>1</v>
      </c>
      <c r="M58" s="43">
        <f t="shared" si="17"/>
        <v>1</v>
      </c>
      <c r="N58" s="43">
        <f t="shared" si="17"/>
        <v>1</v>
      </c>
      <c r="O58" s="43">
        <f t="shared" si="17"/>
        <v>2</v>
      </c>
      <c r="P58" s="43">
        <f t="shared" si="17"/>
        <v>3</v>
      </c>
      <c r="Q58" s="31"/>
      <c r="R58" s="30">
        <f t="shared" si="3"/>
        <v>0</v>
      </c>
      <c r="S58" s="30">
        <f t="shared" si="4"/>
        <v>0</v>
      </c>
      <c r="T58" s="30">
        <f t="shared" si="5"/>
        <v>0</v>
      </c>
      <c r="U58" s="30">
        <f t="shared" si="6"/>
        <v>0</v>
      </c>
      <c r="V58" s="30">
        <f t="shared" si="7"/>
        <v>0</v>
      </c>
      <c r="W58" s="30">
        <f t="shared" si="8"/>
        <v>0.40334368955298028</v>
      </c>
      <c r="X58" s="30">
        <f t="shared" si="9"/>
        <v>0.28605497635714761</v>
      </c>
      <c r="Y58" s="30">
        <f t="shared" si="10"/>
        <v>0.18592808523259127</v>
      </c>
      <c r="Z58" s="30">
        <f t="shared" si="11"/>
        <v>0.27881503292361715</v>
      </c>
      <c r="AA58" s="30">
        <f t="shared" si="12"/>
        <v>0.32535257772730625</v>
      </c>
    </row>
    <row r="59" spans="1:27" ht="20.25">
      <c r="A59" s="13" t="s">
        <v>76</v>
      </c>
      <c r="B59" s="13" t="s">
        <v>122</v>
      </c>
      <c r="C59" s="13">
        <v>4</v>
      </c>
      <c r="D59" s="14">
        <v>95</v>
      </c>
      <c r="E59" s="16">
        <v>39</v>
      </c>
      <c r="F59" s="16">
        <f t="shared" si="16"/>
        <v>1194.5906065275187</v>
      </c>
      <c r="G59" s="43">
        <f t="shared" si="17"/>
        <v>0</v>
      </c>
      <c r="H59" s="43">
        <f t="shared" si="17"/>
        <v>0</v>
      </c>
      <c r="I59" s="43">
        <f t="shared" si="17"/>
        <v>0</v>
      </c>
      <c r="J59" s="43">
        <f t="shared" si="17"/>
        <v>0</v>
      </c>
      <c r="K59" s="43">
        <f t="shared" si="17"/>
        <v>0</v>
      </c>
      <c r="L59" s="43">
        <f t="shared" si="17"/>
        <v>1</v>
      </c>
      <c r="M59" s="43">
        <f t="shared" si="17"/>
        <v>1</v>
      </c>
      <c r="N59" s="43">
        <f t="shared" si="17"/>
        <v>1</v>
      </c>
      <c r="O59" s="43">
        <f t="shared" si="17"/>
        <v>1</v>
      </c>
      <c r="P59" s="43">
        <f t="shared" si="17"/>
        <v>2</v>
      </c>
      <c r="Q59" s="31"/>
      <c r="R59" s="30">
        <f t="shared" si="3"/>
        <v>0</v>
      </c>
      <c r="S59" s="30">
        <f t="shared" si="4"/>
        <v>0</v>
      </c>
      <c r="T59" s="30">
        <f t="shared" si="5"/>
        <v>0</v>
      </c>
      <c r="U59" s="30">
        <f t="shared" si="6"/>
        <v>0</v>
      </c>
      <c r="V59" s="30">
        <f t="shared" si="7"/>
        <v>0</v>
      </c>
      <c r="W59" s="30">
        <f t="shared" si="8"/>
        <v>0.5008046953551698</v>
      </c>
      <c r="X59" s="30">
        <f t="shared" si="9"/>
        <v>0.35517519921569102</v>
      </c>
      <c r="Y59" s="30">
        <f t="shared" si="10"/>
        <v>0.23085438174593575</v>
      </c>
      <c r="Z59" s="30">
        <f t="shared" si="11"/>
        <v>0.17309292452115169</v>
      </c>
      <c r="AA59" s="30">
        <f t="shared" si="12"/>
        <v>0.26931225617590898</v>
      </c>
    </row>
    <row r="60" spans="1:27" ht="20.25">
      <c r="A60" s="13" t="s">
        <v>76</v>
      </c>
      <c r="B60" s="13" t="s">
        <v>123</v>
      </c>
      <c r="C60" s="13">
        <v>4</v>
      </c>
      <c r="D60" s="14">
        <v>120</v>
      </c>
      <c r="E60" s="16">
        <v>43</v>
      </c>
      <c r="F60" s="16">
        <f t="shared" si="16"/>
        <v>1452.2012041218818</v>
      </c>
      <c r="G60" s="43">
        <f t="shared" ref="G60:P65" si="18">IF(INT(0.4*G$7/$F60)&gt;=3,INT(0.4*G$7/$F60),IF(INT(0.31*G$7/$F60)&gt;=2,2,IF(0.53*G$7/$F60&gt;=1,1,0)))</f>
        <v>0</v>
      </c>
      <c r="H60" s="43">
        <f t="shared" si="18"/>
        <v>0</v>
      </c>
      <c r="I60" s="43">
        <f t="shared" si="18"/>
        <v>0</v>
      </c>
      <c r="J60" s="43">
        <f t="shared" si="18"/>
        <v>0</v>
      </c>
      <c r="K60" s="43">
        <f t="shared" si="18"/>
        <v>0</v>
      </c>
      <c r="L60" s="43">
        <f t="shared" si="18"/>
        <v>0</v>
      </c>
      <c r="M60" s="43">
        <f t="shared" si="18"/>
        <v>1</v>
      </c>
      <c r="N60" s="43">
        <f t="shared" si="18"/>
        <v>1</v>
      </c>
      <c r="O60" s="43">
        <f t="shared" si="18"/>
        <v>1</v>
      </c>
      <c r="P60" s="43">
        <f t="shared" si="18"/>
        <v>1</v>
      </c>
      <c r="Q60" s="31"/>
      <c r="R60" s="30">
        <f t="shared" si="3"/>
        <v>0</v>
      </c>
      <c r="S60" s="30">
        <f t="shared" si="4"/>
        <v>0</v>
      </c>
      <c r="T60" s="30">
        <f t="shared" si="5"/>
        <v>0</v>
      </c>
      <c r="U60" s="30">
        <f t="shared" si="6"/>
        <v>0</v>
      </c>
      <c r="V60" s="30">
        <f t="shared" si="7"/>
        <v>0</v>
      </c>
      <c r="W60" s="30">
        <f t="shared" si="8"/>
        <v>0</v>
      </c>
      <c r="X60" s="30">
        <f t="shared" si="9"/>
        <v>0.43176787859948235</v>
      </c>
      <c r="Y60" s="30">
        <f t="shared" si="10"/>
        <v>0.28063757517964183</v>
      </c>
      <c r="Z60" s="30">
        <f t="shared" si="11"/>
        <v>0.21041999831664004</v>
      </c>
      <c r="AA60" s="30">
        <f t="shared" si="12"/>
        <v>0.16369439897082699</v>
      </c>
    </row>
    <row r="61" spans="1:27" ht="20.25">
      <c r="A61" s="13" t="s">
        <v>76</v>
      </c>
      <c r="B61" s="13" t="s">
        <v>124</v>
      </c>
      <c r="C61" s="13">
        <v>4</v>
      </c>
      <c r="D61" s="14">
        <v>150</v>
      </c>
      <c r="E61" s="16">
        <v>48</v>
      </c>
      <c r="F61" s="16">
        <f t="shared" si="16"/>
        <v>1809.5573684677208</v>
      </c>
      <c r="G61" s="43">
        <f t="shared" si="18"/>
        <v>0</v>
      </c>
      <c r="H61" s="43">
        <f t="shared" si="18"/>
        <v>0</v>
      </c>
      <c r="I61" s="43">
        <f t="shared" si="18"/>
        <v>0</v>
      </c>
      <c r="J61" s="43">
        <f t="shared" si="18"/>
        <v>0</v>
      </c>
      <c r="K61" s="43">
        <f t="shared" si="18"/>
        <v>0</v>
      </c>
      <c r="L61" s="43">
        <f t="shared" si="18"/>
        <v>0</v>
      </c>
      <c r="M61" s="43">
        <f t="shared" si="18"/>
        <v>0</v>
      </c>
      <c r="N61" s="43">
        <f t="shared" si="18"/>
        <v>1</v>
      </c>
      <c r="O61" s="43">
        <f t="shared" si="18"/>
        <v>1</v>
      </c>
      <c r="P61" s="43">
        <f t="shared" si="18"/>
        <v>1</v>
      </c>
      <c r="Q61" s="31"/>
      <c r="R61" s="30">
        <f t="shared" si="3"/>
        <v>0</v>
      </c>
      <c r="S61" s="30">
        <f t="shared" si="4"/>
        <v>0</v>
      </c>
      <c r="T61" s="30">
        <f t="shared" si="5"/>
        <v>0</v>
      </c>
      <c r="U61" s="30">
        <f t="shared" si="6"/>
        <v>0</v>
      </c>
      <c r="V61" s="30">
        <f t="shared" si="7"/>
        <v>0</v>
      </c>
      <c r="W61" s="30">
        <f t="shared" si="8"/>
        <v>0</v>
      </c>
      <c r="X61" s="30">
        <f t="shared" si="9"/>
        <v>0</v>
      </c>
      <c r="Y61" s="30">
        <f t="shared" si="10"/>
        <v>0.3496965782660329</v>
      </c>
      <c r="Z61" s="30">
        <f t="shared" si="11"/>
        <v>0.26219993300245464</v>
      </c>
      <c r="AA61" s="30">
        <f t="shared" si="12"/>
        <v>0.20397614668944589</v>
      </c>
    </row>
    <row r="62" spans="1:27" ht="20.25">
      <c r="A62" s="13" t="s">
        <v>76</v>
      </c>
      <c r="B62" s="13" t="s">
        <v>125</v>
      </c>
      <c r="C62" s="13">
        <v>4</v>
      </c>
      <c r="D62" s="14">
        <v>185</v>
      </c>
      <c r="E62" s="16">
        <v>53</v>
      </c>
      <c r="F62" s="16">
        <f t="shared" si="16"/>
        <v>2206.1834409834323</v>
      </c>
      <c r="G62" s="43">
        <f t="shared" si="18"/>
        <v>0</v>
      </c>
      <c r="H62" s="43">
        <f t="shared" si="18"/>
        <v>0</v>
      </c>
      <c r="I62" s="43">
        <f t="shared" si="18"/>
        <v>0</v>
      </c>
      <c r="J62" s="43">
        <f t="shared" si="18"/>
        <v>0</v>
      </c>
      <c r="K62" s="43">
        <f t="shared" si="18"/>
        <v>0</v>
      </c>
      <c r="L62" s="43">
        <f t="shared" si="18"/>
        <v>0</v>
      </c>
      <c r="M62" s="43">
        <f t="shared" si="18"/>
        <v>0</v>
      </c>
      <c r="N62" s="43">
        <f t="shared" si="18"/>
        <v>1</v>
      </c>
      <c r="O62" s="43">
        <f t="shared" si="18"/>
        <v>1</v>
      </c>
      <c r="P62" s="43">
        <f t="shared" si="18"/>
        <v>1</v>
      </c>
      <c r="Q62" s="31"/>
      <c r="R62" s="30">
        <f t="shared" si="3"/>
        <v>0</v>
      </c>
      <c r="S62" s="30">
        <f t="shared" si="4"/>
        <v>0</v>
      </c>
      <c r="T62" s="30">
        <f t="shared" si="5"/>
        <v>0</v>
      </c>
      <c r="U62" s="30">
        <f t="shared" si="6"/>
        <v>0</v>
      </c>
      <c r="V62" s="30">
        <f t="shared" si="7"/>
        <v>0</v>
      </c>
      <c r="W62" s="30">
        <f t="shared" si="8"/>
        <v>0</v>
      </c>
      <c r="X62" s="30">
        <f t="shared" si="9"/>
        <v>0</v>
      </c>
      <c r="Y62" s="30">
        <f t="shared" si="10"/>
        <v>0.42634448279048887</v>
      </c>
      <c r="Z62" s="30">
        <f t="shared" si="11"/>
        <v>0.31966997040099615</v>
      </c>
      <c r="AA62" s="30">
        <f t="shared" si="12"/>
        <v>0.24868446009142947</v>
      </c>
    </row>
    <row r="63" spans="1:27" ht="20.25">
      <c r="A63" s="13" t="s">
        <v>76</v>
      </c>
      <c r="B63" s="13" t="s">
        <v>126</v>
      </c>
      <c r="C63" s="13">
        <v>4</v>
      </c>
      <c r="D63" s="14">
        <v>240</v>
      </c>
      <c r="E63" s="16">
        <v>60</v>
      </c>
      <c r="F63" s="16">
        <f t="shared" si="16"/>
        <v>2827.4333882308138</v>
      </c>
      <c r="G63" s="43">
        <f t="shared" si="18"/>
        <v>0</v>
      </c>
      <c r="H63" s="43">
        <f t="shared" si="18"/>
        <v>0</v>
      </c>
      <c r="I63" s="43">
        <f t="shared" si="18"/>
        <v>0</v>
      </c>
      <c r="J63" s="43">
        <f t="shared" si="18"/>
        <v>0</v>
      </c>
      <c r="K63" s="43">
        <f t="shared" si="18"/>
        <v>0</v>
      </c>
      <c r="L63" s="43">
        <f t="shared" si="18"/>
        <v>0</v>
      </c>
      <c r="M63" s="43">
        <f t="shared" si="18"/>
        <v>0</v>
      </c>
      <c r="N63" s="43">
        <f t="shared" si="18"/>
        <v>0</v>
      </c>
      <c r="O63" s="43">
        <f t="shared" si="18"/>
        <v>1</v>
      </c>
      <c r="P63" s="43">
        <f t="shared" si="18"/>
        <v>1</v>
      </c>
      <c r="Q63" s="31"/>
      <c r="R63" s="30">
        <f t="shared" si="3"/>
        <v>0</v>
      </c>
      <c r="S63" s="30">
        <f t="shared" si="4"/>
        <v>0</v>
      </c>
      <c r="T63" s="30">
        <f t="shared" si="5"/>
        <v>0</v>
      </c>
      <c r="U63" s="30">
        <f t="shared" si="6"/>
        <v>0</v>
      </c>
      <c r="V63" s="30">
        <f t="shared" si="7"/>
        <v>0</v>
      </c>
      <c r="W63" s="30">
        <f t="shared" si="8"/>
        <v>0</v>
      </c>
      <c r="X63" s="30">
        <f t="shared" si="9"/>
        <v>0</v>
      </c>
      <c r="Y63" s="30">
        <f t="shared" si="10"/>
        <v>0</v>
      </c>
      <c r="Z63" s="30">
        <f t="shared" si="11"/>
        <v>0.40968739531633541</v>
      </c>
      <c r="AA63" s="30">
        <f t="shared" si="12"/>
        <v>0.31871272920225918</v>
      </c>
    </row>
    <row r="64" spans="1:27" ht="20.25">
      <c r="A64" s="13" t="s">
        <v>76</v>
      </c>
      <c r="B64" s="13" t="s">
        <v>127</v>
      </c>
      <c r="C64" s="13">
        <v>4</v>
      </c>
      <c r="D64" s="14">
        <v>300</v>
      </c>
      <c r="E64" s="16">
        <v>66</v>
      </c>
      <c r="F64" s="16">
        <f t="shared" si="16"/>
        <v>3421.1943997592848</v>
      </c>
      <c r="G64" s="43">
        <f t="shared" si="18"/>
        <v>0</v>
      </c>
      <c r="H64" s="43">
        <f t="shared" si="18"/>
        <v>0</v>
      </c>
      <c r="I64" s="43">
        <f t="shared" si="18"/>
        <v>0</v>
      </c>
      <c r="J64" s="43">
        <f t="shared" si="18"/>
        <v>0</v>
      </c>
      <c r="K64" s="43">
        <f t="shared" si="18"/>
        <v>0</v>
      </c>
      <c r="L64" s="43">
        <f t="shared" si="18"/>
        <v>0</v>
      </c>
      <c r="M64" s="43">
        <f t="shared" si="18"/>
        <v>0</v>
      </c>
      <c r="N64" s="43">
        <f t="shared" si="18"/>
        <v>0</v>
      </c>
      <c r="O64" s="43">
        <f t="shared" si="18"/>
        <v>1</v>
      </c>
      <c r="P64" s="43">
        <f t="shared" si="18"/>
        <v>1</v>
      </c>
      <c r="Q64" s="31"/>
      <c r="R64" s="30">
        <f t="shared" si="3"/>
        <v>0</v>
      </c>
      <c r="S64" s="30">
        <f t="shared" si="4"/>
        <v>0</v>
      </c>
      <c r="T64" s="30">
        <f t="shared" si="5"/>
        <v>0</v>
      </c>
      <c r="U64" s="30">
        <f t="shared" si="6"/>
        <v>0</v>
      </c>
      <c r="V64" s="30">
        <f t="shared" si="7"/>
        <v>0</v>
      </c>
      <c r="W64" s="30">
        <f t="shared" si="8"/>
        <v>0</v>
      </c>
      <c r="X64" s="30">
        <f t="shared" si="9"/>
        <v>0</v>
      </c>
      <c r="Y64" s="30">
        <f t="shared" si="10"/>
        <v>0</v>
      </c>
      <c r="Z64" s="30">
        <f t="shared" si="11"/>
        <v>0.49572174833276583</v>
      </c>
      <c r="AA64" s="30">
        <f t="shared" si="12"/>
        <v>0.38564240233473362</v>
      </c>
    </row>
    <row r="65" spans="1:27" ht="20.25">
      <c r="A65" s="13" t="s">
        <v>76</v>
      </c>
      <c r="B65" s="13" t="s">
        <v>128</v>
      </c>
      <c r="C65" s="13">
        <v>4</v>
      </c>
      <c r="D65" s="14">
        <v>400</v>
      </c>
      <c r="E65" s="16">
        <v>74</v>
      </c>
      <c r="F65" s="16">
        <f t="shared" si="16"/>
        <v>4300.8403427644271</v>
      </c>
      <c r="G65" s="43">
        <f t="shared" si="18"/>
        <v>0</v>
      </c>
      <c r="H65" s="43">
        <f t="shared" si="18"/>
        <v>0</v>
      </c>
      <c r="I65" s="43">
        <f t="shared" si="18"/>
        <v>0</v>
      </c>
      <c r="J65" s="43">
        <f t="shared" si="18"/>
        <v>0</v>
      </c>
      <c r="K65" s="43">
        <f t="shared" si="18"/>
        <v>0</v>
      </c>
      <c r="L65" s="43">
        <f t="shared" si="18"/>
        <v>0</v>
      </c>
      <c r="M65" s="43">
        <f t="shared" si="18"/>
        <v>0</v>
      </c>
      <c r="N65" s="43">
        <f t="shared" si="18"/>
        <v>0</v>
      </c>
      <c r="O65" s="43">
        <f t="shared" si="18"/>
        <v>0</v>
      </c>
      <c r="P65" s="43">
        <f t="shared" si="18"/>
        <v>1</v>
      </c>
      <c r="Q65" s="31"/>
      <c r="R65" s="30">
        <f t="shared" si="3"/>
        <v>0</v>
      </c>
      <c r="S65" s="30">
        <f t="shared" si="4"/>
        <v>0</v>
      </c>
      <c r="T65" s="30">
        <f t="shared" si="5"/>
        <v>0</v>
      </c>
      <c r="U65" s="30">
        <f t="shared" si="6"/>
        <v>0</v>
      </c>
      <c r="V65" s="30">
        <f t="shared" si="7"/>
        <v>0</v>
      </c>
      <c r="W65" s="30">
        <f t="shared" si="8"/>
        <v>0</v>
      </c>
      <c r="X65" s="30">
        <f t="shared" si="9"/>
        <v>0</v>
      </c>
      <c r="Y65" s="30">
        <f t="shared" si="10"/>
        <v>0</v>
      </c>
      <c r="Z65" s="30">
        <f t="shared" si="11"/>
        <v>0</v>
      </c>
      <c r="AA65" s="30">
        <f t="shared" si="12"/>
        <v>0.48479747364210318</v>
      </c>
    </row>
    <row r="67" spans="1:27" ht="15">
      <c r="B67" s="34" t="s">
        <v>154</v>
      </c>
    </row>
    <row r="68" spans="1:27" ht="15">
      <c r="A68" s="64" t="s">
        <v>129</v>
      </c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</row>
    <row r="69" spans="1:27" ht="18" customHeight="1">
      <c r="A69" s="65" t="s">
        <v>130</v>
      </c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</row>
    <row r="70" spans="1:27" ht="52.5" customHeight="1">
      <c r="A70" s="20" t="s">
        <v>131</v>
      </c>
      <c r="B70" s="20" t="s">
        <v>132</v>
      </c>
      <c r="C70" s="20" t="s">
        <v>68</v>
      </c>
      <c r="D70" s="20" t="s">
        <v>43</v>
      </c>
      <c r="E70" s="20" t="s">
        <v>133</v>
      </c>
      <c r="F70" s="20" t="s">
        <v>134</v>
      </c>
      <c r="G70" s="20" t="s">
        <v>135</v>
      </c>
      <c r="H70" s="20" t="s">
        <v>136</v>
      </c>
      <c r="I70" s="20" t="s">
        <v>137</v>
      </c>
      <c r="J70" s="20" t="s">
        <v>138</v>
      </c>
      <c r="K70" s="20" t="s">
        <v>139</v>
      </c>
      <c r="L70" s="20" t="s">
        <v>140</v>
      </c>
      <c r="M70" s="20" t="s">
        <v>141</v>
      </c>
      <c r="N70" s="20" t="s">
        <v>142</v>
      </c>
      <c r="O70" s="20" t="s">
        <v>143</v>
      </c>
    </row>
    <row r="71" spans="1:27" ht="18" customHeight="1">
      <c r="A71" s="24" t="s">
        <v>144</v>
      </c>
      <c r="B71" s="24" t="s">
        <v>82</v>
      </c>
      <c r="C71" s="24">
        <v>1</v>
      </c>
      <c r="D71" s="24">
        <v>4</v>
      </c>
      <c r="E71" s="51">
        <f>_xlfn.XLOOKUP(B71,$B$10:$B$65,$E$10:$E$65,0,0)</f>
        <v>20</v>
      </c>
      <c r="F71" s="53">
        <v>4</v>
      </c>
      <c r="G71" s="25">
        <f>IF(E71="","",PI()*E71^2/4)</f>
        <v>314.15926535897933</v>
      </c>
      <c r="H71" s="25">
        <f>IF(OR(G71="",F71=""),"",G71*F71)</f>
        <v>1256.6370614359173</v>
      </c>
      <c r="I71" s="26" t="s">
        <v>52</v>
      </c>
      <c r="J71" s="25">
        <f>IF(I71="1/2 in",$G$7,IF(I71="3/4 in",$H$7,IF(I71="1 in",$I$7,IF(I71="1-1/4 in",$J$7,IF(I71="1-1/2 in",$K$7,IF(I71="2 in",$L$7,IF(I71="2-1/2 in",$M$7,IF(I71="3 in",$N$7,IF(I71="3-1/2 in",$O$7,IF(I71="4 in",$P$7,""))))))))))</f>
        <v>230.19580346207698</v>
      </c>
      <c r="K71" s="9">
        <f>IF(F71="","",IF(F71=1,0.53,IF(F71=2,0.31,0.4)))</f>
        <v>0.4</v>
      </c>
      <c r="L71" s="9">
        <f>IF(OR(H71="",J71=""),"",H71/J71)</f>
        <v>5.4589920517075745</v>
      </c>
      <c r="M71" s="44" t="str">
        <f>IF(OR(L71="",K71=""),"",IF(L71&lt;=K71,"PASS","FAIL"))</f>
        <v>FAIL</v>
      </c>
      <c r="N71" s="27" t="str">
        <f>IF(M71="","REVIEW",IF(M71="PASS","USE / PASS","CHECK"))</f>
        <v>CHECK</v>
      </c>
      <c r="O71" s="23" t="s">
        <v>145</v>
      </c>
    </row>
    <row r="72" spans="1:27" ht="18" customHeight="1">
      <c r="A72" s="24" t="s">
        <v>146</v>
      </c>
      <c r="B72" s="24"/>
      <c r="C72" s="24">
        <v>1</v>
      </c>
      <c r="D72" s="24">
        <v>6</v>
      </c>
      <c r="E72" s="51">
        <f t="shared" ref="E72:E74" si="19">_xlfn.XLOOKUP(B72,$B$10:$B$65,$E$10:$E$65,0,0)</f>
        <v>0</v>
      </c>
      <c r="F72" s="53">
        <v>0</v>
      </c>
      <c r="G72" s="25">
        <f>IF(E72="","",PI()*E72^2/4)</f>
        <v>0</v>
      </c>
      <c r="H72" s="25">
        <f>IF(OR(G72="",F72=""),"",G72*F72)</f>
        <v>0</v>
      </c>
      <c r="I72" s="26" t="s">
        <v>52</v>
      </c>
      <c r="J72" s="25">
        <f>IF(I72="1/2 in",$G$7,IF(I72="3/4 in",$H$7,IF(I72="1 in",$I$7,IF(I72="1-1/4 in",$J$7,IF(I72="1-1/2 in",$K$7,IF(I72="2 in",$L$7,IF(I72="2-1/2 in",$M$7,IF(I72="3 in",$N$7,IF(I72="3-1/2 in",$O$7,IF(I72="4 in",$P$7,""))))))))))</f>
        <v>230.19580346207698</v>
      </c>
      <c r="K72" s="9">
        <f>IF(F72="","",IF(F72=1,0.53,IF(F72=2,0.31,0.4)))</f>
        <v>0.4</v>
      </c>
      <c r="L72" s="9">
        <f>IF(OR(H72="",J72=""),"",H72/J72)</f>
        <v>0</v>
      </c>
      <c r="M72" s="44" t="str">
        <f>IF(OR(L72="",K72=""),"",IF(L72&lt;=K72,"PASS","FAIL"))</f>
        <v>PASS</v>
      </c>
      <c r="N72" s="27" t="str">
        <f>IF(M72="","REVIEW",IF(M72="PASS","USE / PASS","CHECK"))</f>
        <v>USE / PASS</v>
      </c>
      <c r="O72" s="23" t="s">
        <v>145</v>
      </c>
    </row>
    <row r="73" spans="1:27" ht="18" customHeight="1">
      <c r="A73" s="24" t="s">
        <v>147</v>
      </c>
      <c r="B73" s="24"/>
      <c r="C73" s="24">
        <v>1</v>
      </c>
      <c r="D73" s="24">
        <v>10</v>
      </c>
      <c r="E73" s="51">
        <f t="shared" si="19"/>
        <v>0</v>
      </c>
      <c r="F73" s="53">
        <v>0</v>
      </c>
      <c r="G73" s="25">
        <f>IF(E73="","",PI()*E73^2/4)</f>
        <v>0</v>
      </c>
      <c r="H73" s="25">
        <f>IF(OR(G73="",F73=""),"",G73*F73)</f>
        <v>0</v>
      </c>
      <c r="I73" s="26" t="s">
        <v>53</v>
      </c>
      <c r="J73" s="25">
        <f>IF(I73="1/2 in",$G$7,IF(I73="3/4 in",$H$7,IF(I73="1 in",$I$7,IF(I73="1-1/4 in",$J$7,IF(I73="1-1/2 in",$K$7,IF(I73="2 in",$L$7,IF(I73="2-1/2 in",$M$7,IF(I73="3 in",$N$7,IF(I73="3-1/2 in",$O$7,IF(I73="4 in",$P$7,""))))))))))</f>
        <v>391.97305963647955</v>
      </c>
      <c r="K73" s="9">
        <f t="shared" ref="K73:K75" si="20">IF(F73="","",IF(F73=1,0.53,IF(F73=2,0.31,0.4)))</f>
        <v>0.4</v>
      </c>
      <c r="L73" s="9">
        <f>IF(OR(H73="",J73=""),"",H73/J73)</f>
        <v>0</v>
      </c>
      <c r="M73" s="44" t="str">
        <f>IF(OR(L73="",K73=""),"",IF(L73&lt;=K73,"PASS","FAIL"))</f>
        <v>PASS</v>
      </c>
      <c r="N73" s="27" t="str">
        <f>IF(M73="","REVIEW",IF(M73="PASS","USE / PASS","CHECK"))</f>
        <v>USE / PASS</v>
      </c>
      <c r="O73" s="23" t="s">
        <v>145</v>
      </c>
    </row>
    <row r="74" spans="1:27" ht="18" customHeight="1">
      <c r="A74" s="24" t="s">
        <v>148</v>
      </c>
      <c r="B74" s="24"/>
      <c r="C74" s="24">
        <v>2</v>
      </c>
      <c r="D74" s="24">
        <v>16</v>
      </c>
      <c r="E74" s="51">
        <f t="shared" si="19"/>
        <v>0</v>
      </c>
      <c r="F74" s="53">
        <v>0</v>
      </c>
      <c r="G74" s="25">
        <f>IF(E74="","",PI()*E74^2/4)</f>
        <v>0</v>
      </c>
      <c r="H74" s="25">
        <f>IF(OR(G74="",F74=""),"",G74*F74)</f>
        <v>0</v>
      </c>
      <c r="I74" s="26" t="s">
        <v>54</v>
      </c>
      <c r="J74" s="25">
        <f>IF(I74="1/2 in",$G$7,IF(I74="3/4 in",$H$7,IF(I74="1 in",$I$7,IF(I74="1-1/4 in",$J$7,IF(I74="1-1/2 in",$K$7,IF(I74="2 in",$L$7,IF(I74="2-1/2 in",$M$7,IF(I74="3 in",$N$7,IF(I74="3-1/2 in",$O$7,IF(I74="4 in",$P$7,""))))))))))</f>
        <v>635.70323694930323</v>
      </c>
      <c r="K74" s="9">
        <f t="shared" si="20"/>
        <v>0.4</v>
      </c>
      <c r="L74" s="9">
        <f>IF(OR(H74="",J74=""),"",H74/J74)</f>
        <v>0</v>
      </c>
      <c r="M74" s="44" t="str">
        <f>IF(OR(L74="",K74=""),"",IF(L74&lt;=K74,"PASS","FAIL"))</f>
        <v>PASS</v>
      </c>
      <c r="N74" s="27" t="str">
        <f>IF(M74="","REVIEW",IF(M74="PASS","USE / PASS","CHECK"))</f>
        <v>USE / PASS</v>
      </c>
      <c r="O74" s="23" t="s">
        <v>149</v>
      </c>
    </row>
    <row r="75" spans="1:27" ht="18" customHeight="1">
      <c r="A75" s="24" t="s">
        <v>150</v>
      </c>
      <c r="B75" s="52" t="s">
        <v>173</v>
      </c>
      <c r="C75" s="24">
        <v>1</v>
      </c>
      <c r="D75" s="24">
        <v>25</v>
      </c>
      <c r="E75" s="51">
        <v>14.6</v>
      </c>
      <c r="F75" s="53">
        <v>1</v>
      </c>
      <c r="G75" s="25">
        <f>IF(E75="","",PI()*E75^2/4)</f>
        <v>167.41547250980008</v>
      </c>
      <c r="H75" s="25">
        <f>IF(OR(G75="",F75=""),"",G75*F75)</f>
        <v>167.41547250980008</v>
      </c>
      <c r="I75" s="26" t="s">
        <v>54</v>
      </c>
      <c r="J75" s="25">
        <f>IF(I75="1/2 in",$G$7,IF(I75="3/4 in",$H$7,IF(I75="1 in",$I$7,IF(I75="1-1/4 in",$J$7,IF(I75="1-1/2 in",$K$7,IF(I75="2 in",$L$7,IF(I75="2-1/2 in",$M$7,IF(I75="3 in",$N$7,IF(I75="3-1/2 in",$O$7,IF(I75="4 in",$P$7,""))))))))))</f>
        <v>635.70323694930323</v>
      </c>
      <c r="K75" s="9">
        <f t="shared" si="20"/>
        <v>0.53</v>
      </c>
      <c r="L75" s="9">
        <f>IF(OR(H75="",J75=""),"",H75/J75)</f>
        <v>0.2633547586027965</v>
      </c>
      <c r="M75" s="44" t="str">
        <f>IF(OR(L75="",K75=""),"",IF(L75&lt;=K75,"PASS","FAIL"))</f>
        <v>PASS</v>
      </c>
      <c r="N75" s="27" t="str">
        <f>IF(M75="","REVIEW",IF(M75="PASS","USE / PASS","CHECK"))</f>
        <v>USE / PASS</v>
      </c>
      <c r="O75" s="23" t="s">
        <v>151</v>
      </c>
    </row>
    <row r="76" spans="1:27" ht="45">
      <c r="A76" s="47" t="s">
        <v>152</v>
      </c>
      <c r="B76" s="47"/>
      <c r="C76" s="47"/>
      <c r="D76" s="47"/>
      <c r="E76" s="47"/>
      <c r="F76" s="49">
        <f>SUM(F71:F75)</f>
        <v>5</v>
      </c>
      <c r="G76" s="45"/>
      <c r="H76" s="46">
        <f>SUM(H71:H75)</f>
        <v>1424.0525339457174</v>
      </c>
      <c r="I76" s="47"/>
      <c r="J76" s="47"/>
      <c r="K76" s="48"/>
      <c r="L76" s="47"/>
      <c r="M76" s="47" t="s">
        <v>153</v>
      </c>
      <c r="N76" s="47"/>
      <c r="O76" s="47"/>
    </row>
    <row r="77" spans="1:27" ht="15">
      <c r="A77" s="66" t="s">
        <v>155</v>
      </c>
      <c r="B77" s="66"/>
      <c r="C77" s="66"/>
      <c r="D77" s="66"/>
      <c r="E77" s="66"/>
      <c r="F77" s="66"/>
      <c r="G77" s="66"/>
      <c r="H77" s="66"/>
      <c r="I77" s="66"/>
      <c r="J77" s="66"/>
      <c r="K77" s="66"/>
    </row>
    <row r="78" spans="1:27" ht="15">
      <c r="A78" s="55" t="s">
        <v>156</v>
      </c>
      <c r="B78" s="55"/>
      <c r="C78" s="55"/>
      <c r="D78" s="55"/>
      <c r="E78" s="55"/>
      <c r="F78" s="55"/>
      <c r="G78" s="55"/>
      <c r="H78" s="55"/>
      <c r="I78" s="55"/>
      <c r="J78" s="55"/>
      <c r="K78" s="55"/>
    </row>
    <row r="79" spans="1:27" ht="54.75" customHeight="1">
      <c r="A79" s="11" t="s">
        <v>157</v>
      </c>
      <c r="B79" s="11" t="s">
        <v>136</v>
      </c>
      <c r="C79" s="11" t="s">
        <v>158</v>
      </c>
      <c r="D79" s="11" t="s">
        <v>159</v>
      </c>
      <c r="E79" s="11" t="s">
        <v>160</v>
      </c>
      <c r="F79" s="11" t="s">
        <v>161</v>
      </c>
      <c r="G79" s="11" t="s">
        <v>162</v>
      </c>
      <c r="H79" s="11" t="s">
        <v>163</v>
      </c>
    </row>
    <row r="80" spans="1:27" ht="25.5">
      <c r="A80" s="50">
        <f>SUM(F71:F75)</f>
        <v>5</v>
      </c>
      <c r="B80" s="38">
        <f>SUM(H71:H75)</f>
        <v>1424.0525339457174</v>
      </c>
      <c r="C80" s="41">
        <f>IF(A80=0,"",IF(A80=1,0.53,IF(A80=2,0.31,0.4)))</f>
        <v>0.4</v>
      </c>
      <c r="D80" s="37">
        <f>IF(OR(B80="",C80=""),"",B80/C80)</f>
        <v>3560.1313348642934</v>
      </c>
      <c r="E80" s="39" t="str">
        <f>IFERROR(INDEX($A$82:$A$91,MATCH("PASS",$F$82:$F$91,0)),"MULTIPLE / REVIEW")</f>
        <v>3 in</v>
      </c>
      <c r="F80" s="40">
        <f>IFERROR(INDEX($E$82:$E$91,MATCH("PASS",$F$82:$F$91,0)),"")</f>
        <v>0.27519785062883689</v>
      </c>
      <c r="G80" s="27" t="str">
        <f>IF(E80="MULTIPLE / REVIEW","MULTIPLE / REVIEW","PASS")</f>
        <v>PASS</v>
      </c>
      <c r="H80" s="10" t="str">
        <f>IF(E80="MULTIPLE / REVIEW","Use parallel conduits per table below","Single conduit passes")</f>
        <v>Single conduit passes</v>
      </c>
    </row>
    <row r="81" spans="1:9" ht="35.1" customHeight="1">
      <c r="A81" s="11" t="s">
        <v>137</v>
      </c>
      <c r="B81" s="11" t="s">
        <v>65</v>
      </c>
      <c r="C81" s="11" t="s">
        <v>157</v>
      </c>
      <c r="D81" s="11" t="s">
        <v>164</v>
      </c>
      <c r="E81" s="11" t="s">
        <v>161</v>
      </c>
      <c r="F81" s="11" t="s">
        <v>165</v>
      </c>
      <c r="G81" s="11" t="s">
        <v>166</v>
      </c>
      <c r="H81" s="11" t="s">
        <v>167</v>
      </c>
      <c r="I81" s="11" t="s">
        <v>168</v>
      </c>
    </row>
    <row r="82" spans="1:9" ht="25.5">
      <c r="A82" s="33" t="str">
        <f>G$5</f>
        <v>1/2 in</v>
      </c>
      <c r="B82" s="32">
        <f>G$7</f>
        <v>230.19580346207698</v>
      </c>
      <c r="C82" s="22">
        <f>$A$80</f>
        <v>5</v>
      </c>
      <c r="D82" s="21">
        <f>$C$80</f>
        <v>0.4</v>
      </c>
      <c r="E82" s="21">
        <f>IFERROR($B$80/B82,"")</f>
        <v>6.1862662677963165</v>
      </c>
      <c r="F82" s="44" t="str">
        <f t="shared" ref="F82:F91" si="21">IF(E82&lt;=D82,"PASS","FAIL")</f>
        <v>FAIL</v>
      </c>
      <c r="G82" s="22">
        <f>MAX(1,ROUNDUP($B$80/(B82*$C$80),0))</f>
        <v>16</v>
      </c>
      <c r="H82" s="21">
        <f>IFERROR($B$80/(B82*G82),"")</f>
        <v>0.38664164173726978</v>
      </c>
      <c r="I82" s="10" t="str">
        <f>IF(H82&lt;=D82,IF(G82=1,"Single conduit passes",G82&amp;" parallel conduits"),"CHECK")</f>
        <v>16 parallel conduits</v>
      </c>
    </row>
    <row r="83" spans="1:9" ht="25.5">
      <c r="A83" s="33" t="str">
        <f>H$5</f>
        <v>3/4 in</v>
      </c>
      <c r="B83" s="32">
        <f>H$7</f>
        <v>391.97305963647955</v>
      </c>
      <c r="C83" s="22">
        <f t="shared" ref="C83:C91" si="22">$A$80</f>
        <v>5</v>
      </c>
      <c r="D83" s="21">
        <f t="shared" ref="D83:D91" si="23">$C$80</f>
        <v>0.4</v>
      </c>
      <c r="E83" s="21">
        <f t="shared" ref="E83:E91" si="24">IFERROR($B$80/B83,"")</f>
        <v>3.6330367583588541</v>
      </c>
      <c r="F83" s="44" t="str">
        <f t="shared" si="21"/>
        <v>FAIL</v>
      </c>
      <c r="G83" s="22">
        <f t="shared" ref="G83:G91" si="25">MAX(1,ROUNDUP($B$80/(B83*$C$80),0))</f>
        <v>10</v>
      </c>
      <c r="H83" s="21">
        <f t="shared" ref="H83:H91" si="26">IFERROR($B$80/(B83*G83),"")</f>
        <v>0.36330367583588541</v>
      </c>
      <c r="I83" s="10" t="str">
        <f t="shared" ref="I83:I91" si="27">IF(H83&lt;=D83,IF(G83=1,"Single conduit passes",G83&amp;" parallel conduits"),"CHECK")</f>
        <v>10 parallel conduits</v>
      </c>
    </row>
    <row r="84" spans="1:9" ht="25.5">
      <c r="A84" s="33" t="str">
        <f>I$5</f>
        <v>1 in</v>
      </c>
      <c r="B84" s="32">
        <f>I$7</f>
        <v>635.70323694930323</v>
      </c>
      <c r="C84" s="22">
        <f t="shared" si="22"/>
        <v>5</v>
      </c>
      <c r="D84" s="21">
        <f t="shared" si="23"/>
        <v>0.4</v>
      </c>
      <c r="E84" s="21">
        <f t="shared" si="24"/>
        <v>2.2401215711589719</v>
      </c>
      <c r="F84" s="44" t="str">
        <f t="shared" si="21"/>
        <v>FAIL</v>
      </c>
      <c r="G84" s="22">
        <f t="shared" si="25"/>
        <v>6</v>
      </c>
      <c r="H84" s="21">
        <f t="shared" si="26"/>
        <v>0.37335359519316197</v>
      </c>
      <c r="I84" s="10" t="str">
        <f t="shared" si="27"/>
        <v>6 parallel conduits</v>
      </c>
    </row>
    <row r="85" spans="1:9" ht="25.5">
      <c r="A85" s="33" t="str">
        <f>J$5</f>
        <v>1-1/4 in</v>
      </c>
      <c r="B85" s="32">
        <f>J$7</f>
        <v>1090.9595965218996</v>
      </c>
      <c r="C85" s="22">
        <f t="shared" si="22"/>
        <v>5</v>
      </c>
      <c r="D85" s="21">
        <f t="shared" si="23"/>
        <v>0.4</v>
      </c>
      <c r="E85" s="21">
        <f t="shared" si="24"/>
        <v>1.3053210572469918</v>
      </c>
      <c r="F85" s="44" t="str">
        <f t="shared" si="21"/>
        <v>FAIL</v>
      </c>
      <c r="G85" s="22">
        <f t="shared" si="25"/>
        <v>4</v>
      </c>
      <c r="H85" s="21">
        <f t="shared" si="26"/>
        <v>0.32633026431174794</v>
      </c>
      <c r="I85" s="10" t="str">
        <f t="shared" si="27"/>
        <v>4 parallel conduits</v>
      </c>
    </row>
    <row r="86" spans="1:9" ht="25.5">
      <c r="A86" s="33" t="str">
        <f>K$5</f>
        <v>1-1/2 in</v>
      </c>
      <c r="B86" s="32">
        <f>K$7</f>
        <v>1467.7779273567273</v>
      </c>
      <c r="C86" s="22">
        <f t="shared" si="22"/>
        <v>5</v>
      </c>
      <c r="D86" s="21">
        <f t="shared" si="23"/>
        <v>0.4</v>
      </c>
      <c r="E86" s="21">
        <f t="shared" si="24"/>
        <v>0.9702098031343519</v>
      </c>
      <c r="F86" s="44" t="str">
        <f t="shared" si="21"/>
        <v>FAIL</v>
      </c>
      <c r="G86" s="22">
        <f t="shared" si="25"/>
        <v>3</v>
      </c>
      <c r="H86" s="21">
        <f t="shared" si="26"/>
        <v>0.32340326771145061</v>
      </c>
      <c r="I86" s="10" t="str">
        <f t="shared" si="27"/>
        <v>3 parallel conduits</v>
      </c>
    </row>
    <row r="87" spans="1:9" ht="25.5">
      <c r="A87" s="33" t="str">
        <f>L$5</f>
        <v>2 in</v>
      </c>
      <c r="B87" s="32">
        <f>L$7</f>
        <v>2385.3422653721673</v>
      </c>
      <c r="C87" s="22">
        <f t="shared" si="22"/>
        <v>5</v>
      </c>
      <c r="D87" s="21">
        <f t="shared" si="23"/>
        <v>0.4</v>
      </c>
      <c r="E87" s="21">
        <f t="shared" si="24"/>
        <v>0.5970013421631688</v>
      </c>
      <c r="F87" s="44" t="str">
        <f t="shared" si="21"/>
        <v>FAIL</v>
      </c>
      <c r="G87" s="22">
        <f t="shared" si="25"/>
        <v>2</v>
      </c>
      <c r="H87" s="21">
        <f t="shared" si="26"/>
        <v>0.2985006710815844</v>
      </c>
      <c r="I87" s="10" t="str">
        <f t="shared" si="27"/>
        <v>2 parallel conduits</v>
      </c>
    </row>
    <row r="88" spans="1:9" ht="25.5">
      <c r="A88" s="33" t="str">
        <f>M$5</f>
        <v>2-1/2 in</v>
      </c>
      <c r="B88" s="32">
        <f>M$7</f>
        <v>3363.3840683849862</v>
      </c>
      <c r="C88" s="22">
        <f t="shared" si="22"/>
        <v>5</v>
      </c>
      <c r="D88" s="21">
        <f t="shared" si="23"/>
        <v>0.4</v>
      </c>
      <c r="E88" s="21">
        <f t="shared" si="24"/>
        <v>0.4233987272912047</v>
      </c>
      <c r="F88" s="44" t="str">
        <f t="shared" si="21"/>
        <v>FAIL</v>
      </c>
      <c r="G88" s="22">
        <f t="shared" si="25"/>
        <v>2</v>
      </c>
      <c r="H88" s="21">
        <f t="shared" si="26"/>
        <v>0.21169936364560235</v>
      </c>
      <c r="I88" s="10" t="str">
        <f t="shared" si="27"/>
        <v>2 parallel conduits</v>
      </c>
    </row>
    <row r="89" spans="1:9" ht="25.5">
      <c r="A89" s="33" t="str">
        <f>N$5</f>
        <v>3 in</v>
      </c>
      <c r="B89" s="32">
        <f>N$7</f>
        <v>5174.6499134775459</v>
      </c>
      <c r="C89" s="22">
        <f t="shared" si="22"/>
        <v>5</v>
      </c>
      <c r="D89" s="21">
        <f t="shared" si="23"/>
        <v>0.4</v>
      </c>
      <c r="E89" s="21">
        <f t="shared" si="24"/>
        <v>0.27519785062883689</v>
      </c>
      <c r="F89" s="44" t="str">
        <f t="shared" si="21"/>
        <v>PASS</v>
      </c>
      <c r="G89" s="22">
        <f t="shared" si="25"/>
        <v>1</v>
      </c>
      <c r="H89" s="21">
        <f t="shared" si="26"/>
        <v>0.27519785062883689</v>
      </c>
      <c r="I89" s="10" t="str">
        <f t="shared" si="27"/>
        <v>Single conduit passes</v>
      </c>
    </row>
    <row r="90" spans="1:9" ht="25.5">
      <c r="A90" s="33" t="str">
        <f>O$5</f>
        <v>3-1/2 in</v>
      </c>
      <c r="B90" s="32">
        <f>O$7</f>
        <v>6901.4410024688304</v>
      </c>
      <c r="C90" s="22">
        <f t="shared" si="22"/>
        <v>5</v>
      </c>
      <c r="D90" s="21">
        <f t="shared" si="23"/>
        <v>0.4</v>
      </c>
      <c r="E90" s="21">
        <f t="shared" si="24"/>
        <v>0.20634133269215743</v>
      </c>
      <c r="F90" s="44" t="str">
        <f t="shared" si="21"/>
        <v>PASS</v>
      </c>
      <c r="G90" s="22">
        <f t="shared" si="25"/>
        <v>1</v>
      </c>
      <c r="H90" s="21">
        <f t="shared" si="26"/>
        <v>0.20634133269215743</v>
      </c>
      <c r="I90" s="10" t="str">
        <f t="shared" si="27"/>
        <v>Single conduit passes</v>
      </c>
    </row>
    <row r="91" spans="1:9" ht="25.5">
      <c r="A91" s="33" t="str">
        <f>P$5</f>
        <v>4 in</v>
      </c>
      <c r="B91" s="32">
        <f>P$7</f>
        <v>8871.4165741290126</v>
      </c>
      <c r="C91" s="22">
        <f t="shared" si="22"/>
        <v>5</v>
      </c>
      <c r="D91" s="21">
        <f t="shared" si="23"/>
        <v>0.4</v>
      </c>
      <c r="E91" s="21">
        <f t="shared" si="24"/>
        <v>0.16052143668899119</v>
      </c>
      <c r="F91" s="44" t="str">
        <f t="shared" si="21"/>
        <v>PASS</v>
      </c>
      <c r="G91" s="22">
        <f t="shared" si="25"/>
        <v>1</v>
      </c>
      <c r="H91" s="21">
        <f t="shared" si="26"/>
        <v>0.16052143668899119</v>
      </c>
      <c r="I91" s="10" t="str">
        <f t="shared" si="27"/>
        <v>Single conduit passes</v>
      </c>
    </row>
    <row r="99" spans="10:12">
      <c r="J99" t="s">
        <v>169</v>
      </c>
      <c r="L99">
        <v>26.6</v>
      </c>
    </row>
    <row r="100" spans="10:12">
      <c r="J100" t="s">
        <v>170</v>
      </c>
      <c r="L100">
        <v>23.3</v>
      </c>
    </row>
    <row r="101" spans="10:12">
      <c r="J101" t="s">
        <v>171</v>
      </c>
      <c r="L101">
        <v>18.8</v>
      </c>
    </row>
    <row r="102" spans="10:12">
      <c r="J102" t="s">
        <v>172</v>
      </c>
      <c r="L102">
        <v>17.100000000000001</v>
      </c>
    </row>
    <row r="103" spans="10:12">
      <c r="J103" t="s">
        <v>173</v>
      </c>
      <c r="L103">
        <v>14.6</v>
      </c>
    </row>
    <row r="104" spans="10:12">
      <c r="J104" s="54" t="s">
        <v>174</v>
      </c>
      <c r="K104" s="54"/>
      <c r="L104" s="54">
        <v>12.8</v>
      </c>
    </row>
    <row r="105" spans="10:12">
      <c r="J105" t="s">
        <v>175</v>
      </c>
      <c r="L105">
        <v>10.9</v>
      </c>
    </row>
    <row r="106" spans="10:12">
      <c r="J106" t="s">
        <v>176</v>
      </c>
      <c r="L106">
        <v>9.6999999999999993</v>
      </c>
    </row>
    <row r="107" spans="10:12">
      <c r="J107" t="s">
        <v>177</v>
      </c>
      <c r="L107">
        <v>7.8</v>
      </c>
    </row>
    <row r="108" spans="10:12">
      <c r="J108" t="s">
        <v>178</v>
      </c>
      <c r="L108">
        <v>6.7</v>
      </c>
    </row>
    <row r="109" spans="10:12">
      <c r="J109" t="s">
        <v>179</v>
      </c>
      <c r="L109">
        <v>5.2</v>
      </c>
    </row>
  </sheetData>
  <mergeCells count="12">
    <mergeCell ref="Q5:AA5"/>
    <mergeCell ref="A68:O68"/>
    <mergeCell ref="A69:O69"/>
    <mergeCell ref="A7:F7"/>
    <mergeCell ref="A77:K77"/>
    <mergeCell ref="A78:K78"/>
    <mergeCell ref="A4:P4"/>
    <mergeCell ref="A1:P1"/>
    <mergeCell ref="A2:P2"/>
    <mergeCell ref="A3:P3"/>
    <mergeCell ref="A5:F5"/>
    <mergeCell ref="A6:F6"/>
  </mergeCells>
  <conditionalFormatting sqref="F82:F91">
    <cfRule type="cellIs" dxfId="28" priority="1" operator="equal">
      <formula>"PASS"</formula>
    </cfRule>
    <cfRule type="cellIs" dxfId="27" priority="2" operator="equal">
      <formula>"FAIL"</formula>
    </cfRule>
    <cfRule type="containsText" dxfId="26" priority="3" operator="containsText" text="PASS"/>
    <cfRule type="containsText" dxfId="25" priority="4" operator="containsText" text="FAIL"/>
    <cfRule type="containsText" dxfId="24" priority="5" operator="containsText" text="CHECK"/>
    <cfRule type="containsText" dxfId="23" priority="6" operator="containsText" text="NOT PERMITTED"/>
  </conditionalFormatting>
  <conditionalFormatting sqref="F82:I91">
    <cfRule type="containsText" dxfId="22" priority="7" operator="containsText" text="PASS"/>
    <cfRule type="containsText" dxfId="21" priority="8" operator="containsText" text="FAIL"/>
    <cfRule type="containsText" dxfId="20" priority="9" operator="containsText" text="CHECK"/>
  </conditionalFormatting>
  <conditionalFormatting sqref="G80">
    <cfRule type="cellIs" dxfId="19" priority="10" operator="equal">
      <formula>"PASS"</formula>
    </cfRule>
    <cfRule type="cellIs" dxfId="18" priority="11" operator="equal">
      <formula>"FAIL"</formula>
    </cfRule>
    <cfRule type="containsText" dxfId="17" priority="12" operator="containsText" text="PASS"/>
    <cfRule type="containsText" dxfId="16" priority="13" operator="containsText" text="FAIL"/>
    <cfRule type="containsText" dxfId="15" priority="14" operator="containsText" text="CHECK"/>
    <cfRule type="containsText" dxfId="14" priority="15" operator="containsText" text="NOT PERMITTED"/>
  </conditionalFormatting>
  <conditionalFormatting sqref="G80:H80">
    <cfRule type="containsText" dxfId="13" priority="16" operator="containsText" text="PASS"/>
    <cfRule type="containsText" dxfId="12" priority="17" operator="containsText" text="FAIL"/>
    <cfRule type="containsText" dxfId="11" priority="18" operator="containsText" text="CHECK"/>
  </conditionalFormatting>
  <conditionalFormatting sqref="M71:M75">
    <cfRule type="cellIs" dxfId="10" priority="20" operator="equal">
      <formula>"PASS"</formula>
    </cfRule>
    <cfRule type="cellIs" dxfId="9" priority="21" operator="equal">
      <formula>"FAIL"</formula>
    </cfRule>
    <cfRule type="containsText" dxfId="8" priority="23" operator="containsText" text="FAIL"/>
    <cfRule type="containsText" dxfId="7" priority="24" operator="containsText" text="CHECK"/>
  </conditionalFormatting>
  <conditionalFormatting sqref="M71:N75">
    <cfRule type="containsText" dxfId="6" priority="22" operator="containsText" text="PASS"/>
    <cfRule type="containsText" dxfId="5" priority="25" operator="containsText" text="NOT PERMITTED"/>
  </conditionalFormatting>
  <conditionalFormatting sqref="M71:N76">
    <cfRule type="containsText" dxfId="4" priority="32" operator="containsText" text="PASS"/>
    <cfRule type="containsText" dxfId="3" priority="33" operator="containsText" text="FAIL"/>
    <cfRule type="containsText" dxfId="2" priority="34" operator="containsText" text="CHECK"/>
  </conditionalFormatting>
  <conditionalFormatting sqref="N71:N75">
    <cfRule type="containsText" dxfId="1" priority="29" operator="containsText" text="CHECK"/>
    <cfRule type="containsText" dxfId="0" priority="31" operator="containsText" text="NOT PERMITTED"/>
  </conditionalFormatting>
  <conditionalFormatting sqref="R10:AA65">
    <cfRule type="colorScale" priority="19">
      <colorScale>
        <cfvo type="min"/>
        <cfvo type="max"/>
        <color rgb="FFFCFCFF"/>
        <color rgb="FF63BE7B"/>
      </colorScale>
    </cfRule>
  </conditionalFormatting>
  <dataValidations count="2">
    <dataValidation type="list" sqref="I71:I75" xr:uid="{00000000-0002-0000-0600-000000000000}">
      <formula1>"1/2 in,3/4 in,1 in,1-1/4 in,1-1/2 in,2 in,2-1/2 in,3 in,3-1/2 in,4 in"</formula1>
    </dataValidation>
    <dataValidation type="whole" operator="greaterThanOrEqual" sqref="F71:F75" xr:uid="{00000000-0002-0000-0600-000001000000}">
      <formula1>1</formula1>
    </dataValidation>
  </dataValidation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IwNDY0OTNlYS01NjM2LTQwOTMtOWE3YS1mYjNkZmQ0MWQ5NTUiIG9yaWdpbj0idXNlclNlbGVjdGVkIiAvPjxVc2VyTmFtZT5QVFRPUlw2MjAxMTY8L1VzZXJOYW1lPjxEYXRlVGltZT4xMS84LzI1NjkgMDQ6MTk6MTggUE08L0RhdGVUaW1lPjxMYWJlbFN0cmluZz5UaGlzIGl0ZW0gaGFzIG5vIGNsYXNzaWZpY2F0aW9uPC9MYWJlbFN0cmluZz48L2l0ZW0+PGl0ZW0+PHNpc2wgc2lzbFZlcnNpb249IjAiIHBvbGljeT0iMDQ2NDkzZWEtNTYzNi00MDkzLTlhN2EtZmIzZGZkNDFkOTU1IiBvcmlnaW49InVzZXJTZWxlY3RlZCI+PGVsZW1lbnQgdWlkPSJpZF9jbGFzc2lmaWNhdGlvbl9ub25idXNpbmVzcyIgdmFsdWU9IiIgeG1sbnM9Imh0dHA6Ly93d3cuYm9sZG9uamFtZXMuY29tLzIwMDgvMDEvc2llL2ludGVybmFsL2xhYmVsIiAvPjwvc2lzbD48VXNlck5hbWU+UFRUT1JcNjIwMTE2PC9Vc2VyTmFtZT48RGF0ZVRpbWU+MTEvOC8yNTY5IDA0OjIyOjI4IFBNPC9EYXRlVGltZT48TGFiZWxTdHJpbmc+UHVibGljPC9MYWJlbFN0cmluZz48L2l0ZW0+PC9sYWJlbEhpc3Rvcnk+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046493ea-5636-4093-9a7a-fb3dfd41d955" origin="userSelected">
  <element uid="id_classification_nonbusiness" value=""/>
</sisl>
</file>

<file path=customXml/itemProps1.xml><?xml version="1.0" encoding="utf-8"?>
<ds:datastoreItem xmlns:ds="http://schemas.openxmlformats.org/officeDocument/2006/customXml" ds:itemID="{2AF66C6D-9736-4862-B662-1114375136A6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AA011BAB-2B54-41FE-AC6B-6B0ADAB3AAAE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Conduit Data</vt:lpstr>
      <vt:lpstr>1.IMC Max 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Itthiphan Sakunwanthanasak</cp:lastModifiedBy>
  <dcterms:modified xsi:type="dcterms:W3CDTF">2026-08-25T17:27:48Z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496e9ed7-923b-4538-8555-77d5b282b1f5</vt:lpwstr>
  </property>
  <property fmtid="{D5CDD505-2E9C-101B-9397-08002B2CF9AE}" pid="3" name="bjSaver">
    <vt:lpwstr>CsfFGzPpMAHWeyyFZV9HU7BMIBifnsaW</vt:lpwstr>
  </property>
  <property fmtid="{D5CDD505-2E9C-101B-9397-08002B2CF9AE}" pid="4" name="bjClsUserRVM">
    <vt:lpwstr>[]</vt:lpwstr>
  </property>
  <property fmtid="{D5CDD505-2E9C-101B-9397-08002B2CF9AE}" pid="5" name="bjDocumentLabelXML">
    <vt:lpwstr>&lt;?xml version="1.0" encoding="us-ascii"?&gt;&lt;sisl xmlns:xsd="http://www.w3.org/2001/XMLSchema" xmlns:xsi="http://www.w3.org/2001/XMLSchema-instance" sislVersion="0" policy="046493ea-5636-4093-9a7a-fb3dfd41d955" origin="userSelected" xmlns="http://www.boldonj</vt:lpwstr>
  </property>
  <property fmtid="{D5CDD505-2E9C-101B-9397-08002B2CF9AE}" pid="6" name="bjDocumentLabelXML-0">
    <vt:lpwstr>ames.com/2008/01/sie/internal/label"&gt;&lt;element uid="id_classification_nonbusiness" value="" /&gt;&lt;/sisl&gt;</vt:lpwstr>
  </property>
  <property fmtid="{D5CDD505-2E9C-101B-9397-08002B2CF9AE}" pid="7" name="bjDocumentSecurityLabel">
    <vt:lpwstr>Public</vt:lpwstr>
  </property>
  <property fmtid="{D5CDD505-2E9C-101B-9397-08002B2CF9AE}" pid="8" name="bjLabelHistoryID">
    <vt:lpwstr>{2AF66C6D-9736-4862-B662-1114375136A6}</vt:lpwstr>
  </property>
</Properties>
</file>